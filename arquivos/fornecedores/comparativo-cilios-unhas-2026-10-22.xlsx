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Outros fornecedores" sheetId="2" state="visible" r:id="rId4"/>
    <sheet name="Dafu" sheetId="3" state="visible" r:id="rId5"/>
    <sheet name="Zhang" sheetId="4" state="visible" r:id="rId6"/>
    <sheet name="Referencia" sheetId="5" state="visible" r:id="rId7"/>
  </sheets>
  <definedNames>
    <definedName function="false" hidden="true" localSheetId="2" name="_xlnm._FilterDatabase" vbProcedure="false">Dafu!$A$1:$K$157</definedName>
    <definedName function="false" hidden="true" localSheetId="1" name="_xlnm._FilterDatabase" vbProcedure="false">'Outros fornecedores'!$A$1:$L$62</definedName>
    <definedName function="false" hidden="true" localSheetId="4" name="_xlnm._FilterDatabase" vbProcedure="false">Referencia!$A$1:$F$12</definedName>
    <definedName function="false" hidden="true" localSheetId="0" name="_xlnm._FilterDatabase" vbProcedure="false">Resumo!$A$1:$K$16</definedName>
    <definedName function="false" hidden="true" localSheetId="3" name="_xlnm._FilterDatabase" vbProcedure="false">Zhang!$A$1:$G$144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<sst xmlns="http://schemas.openxmlformats.org/spreadsheetml/2006/main" count="1868" uniqueCount="769">
  <si>
    <t xml:space="preserve">Categoria</t>
  </si>
  <si>
    <t xml:space="preserve">Subcategoria</t>
  </si>
  <si>
    <t xml:space="preserve">Dafu - menor preço unit.</t>
  </si>
  <si>
    <t xml:space="preserve">Dafu - maior preço unit.</t>
  </si>
  <si>
    <t xml:space="preserve">Zhang - menor preço unit.</t>
  </si>
  <si>
    <t xml:space="preserve">Zhang - maior preço unit.</t>
  </si>
  <si>
    <t xml:space="preserve">Varejo referência (unid.)</t>
  </si>
  <si>
    <t xml:space="preserve">Mais barato no atacado</t>
  </si>
  <si>
    <t xml:space="preserve">Leitura</t>
  </si>
  <si>
    <t xml:space="preserve">Outros BR - menor preço unit.</t>
  </si>
  <si>
    <t xml:space="preserve">China - menor custo estimado posto</t>
  </si>
  <si>
    <t xml:space="preserve">Cílios</t>
  </si>
  <si>
    <t xml:space="preserve">Extensão fio a fio</t>
  </si>
  <si>
    <t xml:space="preserve">Só a Dafu tem (Fadvan e DeceMars). Bandeja YY a R$11 contra ~R$20-25 no varejo: margem folgada. É o item de maior valor por caixa.</t>
  </si>
  <si>
    <t xml:space="preserve">Tufinho / cluster</t>
  </si>
  <si>
    <t xml:space="preserve">Zhang tem tufinho New Show de R$4,00 a R$4,50 (caixas c/10-12) – o mais barato. Dafu começa em R$3,60 mas os modelos comparáveis ficam entre R$5 e R$6,50; as mega caixas Dafu (R$9,58-13) não têm equivalente na Zhang.</t>
  </si>
  <si>
    <t xml:space="preserve">Kit tufinho</t>
  </si>
  <si>
    <t xml:space="preserve">Zhang: kits Sabrina Sato/Love Rain/New Show R$12-16,50. Dafu: kits com pinça e cola R$19,80-20 (mais completos).</t>
  </si>
  <si>
    <t xml:space="preserve">Kit completo</t>
  </si>
  <si>
    <t xml:space="preserve">Ver linha acima: Dafu tem o kit completo com pinça e cola.</t>
  </si>
  <si>
    <t xml:space="preserve">Postiço em tira</t>
  </si>
  <si>
    <t xml:space="preserve">Zhang bem mais barata: Amor Anjo 1 par R$3,50; Macrilan 5 pares R$3,00. Dafu R$5-7,50.</t>
  </si>
  <si>
    <t xml:space="preserve">Cola</t>
  </si>
  <si>
    <t xml:space="preserve">Nexxo (caixa fechada): Duo Eye R$1,54 e Salon Pro 30ml R$4,20 – a Salon Pro vende ~R$25-30 no varejo. Zhang Eye R$1,66 é a melhor sem caixa fechada.</t>
  </si>
  <si>
    <t xml:space="preserve">Unhas</t>
  </si>
  <si>
    <t xml:space="preserve">Unha postiça</t>
  </si>
  <si>
    <t xml:space="preserve">Press-on: Dafu R$1,83-6 segue forte; Zaxapp R$2,33-2,50. Tips para alongamento: Fonte da Beleza R$6 (120 un). Nexxo tem cartelinha simples a R$0,37 (promo).</t>
  </si>
  <si>
    <t xml:space="preserve">Esmalte</t>
  </si>
  <si>
    <t xml:space="preserve">Zhang: esmalte rasgável Love Rain R$1,50-1,75 (o mais barato). Dafu: R$3-7,50, maior variedade de cores.</t>
  </si>
  <si>
    <t xml:space="preserve">Esmalte em gel</t>
  </si>
  <si>
    <t xml:space="preserve">Fonte da Beleza R$5,00 (dúzia) – mais barato que Zhang (R$5,50) e Dafu (R$8-11). Dafu é marca conhecida (~R$19 no varejo).</t>
  </si>
  <si>
    <t xml:space="preserve">Zaxapp R$1,00 (3g, kit 20) e Nexxo R$1,27 (promo) / R$1,33 (caixa fechada). Dafu R$2,25.</t>
  </si>
  <si>
    <t xml:space="preserve">Gel</t>
  </si>
  <si>
    <t xml:space="preserve">Fonte da Beleza: painting gel R$5 e gel construtor X&amp;D R$6. Dafu: painting R$6, construtor R$8.</t>
  </si>
  <si>
    <t xml:space="preserve">Preparação / base / top</t>
  </si>
  <si>
    <t xml:space="preserve">Fonte da Beleza bem mais barata: base/top X&amp;D R$4, prep 120ml R$4 e 500ml R$9. Dafu R$7,50-12.</t>
  </si>
  <si>
    <t xml:space="preserve">Decoração</t>
  </si>
  <si>
    <t xml:space="preserve">Dafu e Fonte da Beleza na mesma faixa (R$2 a R$4,50 a maioria).</t>
  </si>
  <si>
    <t xml:space="preserve">Ferramentas</t>
  </si>
  <si>
    <t xml:space="preserve">Fonte da Beleza: lixas R$0,64-1,28 (pacote 50), alicate R$5, pincel R$1,50. Dafu: lixas R$3,75+, alicates R$3-16,50.</t>
  </si>
  <si>
    <t xml:space="preserve">Equipamento</t>
  </si>
  <si>
    <t xml:space="preserve">Fonte da Beleza: mini cabine R$5,50, lanterna R$18, motor caneta R$20, cabine R$60. Dafu: mini cabine R$9-11, cabines R$70-75.</t>
  </si>
  <si>
    <t xml:space="preserve">Mínimos e máximos calculados das abas Dafu e Zhang (preço unitário de atacado). Zero/vazio = fornecedor não tem o item.</t>
  </si>
  <si>
    <t xml:space="preserve">Dafu: 8% de desconto em caixa fechada (não aplicado). Zhang: preços públicos do site em 22/10/2026, sem login.</t>
  </si>
  <si>
    <t xml:space="preserve">Origem</t>
  </si>
  <si>
    <t xml:space="preserve">Fornecedor</t>
  </si>
  <si>
    <t xml:space="preserve">Produto</t>
  </si>
  <si>
    <t xml:space="preserve">Marca</t>
  </si>
  <si>
    <t xml:space="preserve">Unid. no lote</t>
  </si>
  <si>
    <t xml:space="preserve">Preço do lote (R$)</t>
  </si>
  <si>
    <t xml:space="preserve">Preço unit. (R$)</t>
  </si>
  <si>
    <t xml:space="preserve">Custo estimado posto no Brasil (R$)</t>
  </si>
  <si>
    <t xml:space="preserve">Obs.</t>
  </si>
  <si>
    <t xml:space="preserve">Link</t>
  </si>
  <si>
    <t xml:space="preserve">Fator custo importação China</t>
  </si>
  <si>
    <t xml:space="preserve">Brasil</t>
  </si>
  <si>
    <t xml:space="preserve">Maquiagem Atacado (SP)</t>
  </si>
  <si>
    <t xml:space="preserve">Tufinho tufos 14mm QBM670</t>
  </si>
  <si>
    <t xml:space="preserve">-</t>
  </si>
  <si>
    <t xml:space="preserve">Unidade; Pix R$2,08</t>
  </si>
  <si>
    <t xml:space="preserve">https://www.maquiagematacado.com.br/cilios-posticos</t>
  </si>
  <si>
    <t xml:space="preserve">Multiplicador sobre FOB</t>
  </si>
  <si>
    <t xml:space="preserve">Distribuidora JCF</t>
  </si>
  <si>
    <t xml:space="preserve">Cílios em tufos 14mm CCT32 (12 un)</t>
  </si>
  <si>
    <t xml:space="preserve">Meilys</t>
  </si>
  <si>
    <t xml:space="preserve">Unidade sai R$3,50</t>
  </si>
  <si>
    <t xml:space="preserve">https://www.distribuidorajcf.com.br/cilios-posticos</t>
  </si>
  <si>
    <t xml:space="preserve">Zaxapp (Atacadista Max / L L)</t>
  </si>
  <si>
    <t xml:space="preserve">Tufos 6D mink - kit 10 caixas</t>
  </si>
  <si>
    <t xml:space="preserve">Preço do kit, sem marca informada</t>
  </si>
  <si>
    <t xml:space="preserve">https://www.zaxapp.com.br/beleza/olhos-atacado/cilios-posticos-olhos-atacado</t>
  </si>
  <si>
    <t xml:space="preserve">Estimativa para frete aéreo + impostos de importação (II, IPI, PIS/COFINS, ICMS) + despachante em pedidos pequenos.</t>
  </si>
  <si>
    <t xml:space="preserve">Extensão tufinho - kit 12 caixas</t>
  </si>
  <si>
    <t xml:space="preserve">Caixa grande</t>
  </si>
  <si>
    <t xml:space="preserve">1,9x é uma premissa minha, não cotação: ajuste com o valor do seu despachante. Em volume (frete marítimo) tende a cair.</t>
  </si>
  <si>
    <t xml:space="preserve">Kit tufos + pinça + cola + selante - 12 caixas</t>
  </si>
  <si>
    <t xml:space="preserve">Mais barato que o kit Dafu (R$20)</t>
  </si>
  <si>
    <t xml:space="preserve">Preços China = Alibaba em R$, FOB, 22/10/2026, sem frete. Preços Brasil = sites em 22/10/2026, sem frete.</t>
  </si>
  <si>
    <t xml:space="preserve">Cílios postiços B13/B05 - box 10 un</t>
  </si>
  <si>
    <t xml:space="preserve">Blue Moon</t>
  </si>
  <si>
    <t xml:space="preserve">R$1,50 o par</t>
  </si>
  <si>
    <t xml:space="preserve">Esmalte/gel são cosméticos: para revender importado direto é preciso importador com regularização na Anvisa.</t>
  </si>
  <si>
    <t xml:space="preserve">Cílios postiços 3D MC018 - 10 un</t>
  </si>
  <si>
    <t xml:space="preserve">Mandala</t>
  </si>
  <si>
    <t xml:space="preserve">Cílios Day by Day SPC02 - 10 un</t>
  </si>
  <si>
    <t xml:space="preserve">SP Colors</t>
  </si>
  <si>
    <t xml:space="preserve">Cílios 8D SP3408 - 10 un</t>
  </si>
  <si>
    <t xml:space="preserve">Sabrina Sato</t>
  </si>
  <si>
    <t xml:space="preserve">Marca forte</t>
  </si>
  <si>
    <t xml:space="preserve">Cílios 5 pares ML225</t>
  </si>
  <si>
    <t xml:space="preserve">Make Lolita</t>
  </si>
  <si>
    <t xml:space="preserve">Cartela com 5 pares</t>
  </si>
  <si>
    <t xml:space="preserve">Mercado Cílios (atacarejo)</t>
  </si>
  <si>
    <t xml:space="preserve">Fios YY Flying</t>
  </si>
  <si>
    <t xml:space="preserve">Nagaraku</t>
  </si>
  <si>
    <t xml:space="preserve">Pedido mín. R$300; cadastro VIP acima de R$1.000</t>
  </si>
  <si>
    <t xml:space="preserve">https://mercadocilios.com.br/</t>
  </si>
  <si>
    <t xml:space="preserve">5D W volume egípcio</t>
  </si>
  <si>
    <t xml:space="preserve">Pedido mín. R$300</t>
  </si>
  <si>
    <t xml:space="preserve">5D W shape</t>
  </si>
  <si>
    <t xml:space="preserve">DeceMars</t>
  </si>
  <si>
    <t xml:space="preserve">Cola Eye branca JS002 - kit 6</t>
  </si>
  <si>
    <t xml:space="preserve">Eye</t>
  </si>
  <si>
    <t xml:space="preserve">Mesma cola que a Zhang vende a R$1,66</t>
  </si>
  <si>
    <t xml:space="preserve">Cola à prova d'água MF7038 - 12 un</t>
  </si>
  <si>
    <t xml:space="preserve">Miss France</t>
  </si>
  <si>
    <t xml:space="preserve">Cola transparente LN1100231 - 12 un</t>
  </si>
  <si>
    <t xml:space="preserve">Lua e Neve</t>
  </si>
  <si>
    <t xml:space="preserve">Unhas decoradas glitter degradê - 12 caixas</t>
  </si>
  <si>
    <t xml:space="preserve">Preço do kit de 12 caixas</t>
  </si>
  <si>
    <t xml:space="preserve">https://www.zaxapp.com.br/beleza/unhas-atacado</t>
  </si>
  <si>
    <t xml:space="preserve">Unhas coloridas com adesivo - 12 caixas</t>
  </si>
  <si>
    <t xml:space="preserve">Unhas decoradas strass flor 3D - 12</t>
  </si>
  <si>
    <t xml:space="preserve">Unha postiça arredondada/bailarina - 12 un</t>
  </si>
  <si>
    <t xml:space="preserve">Hello Mini</t>
  </si>
  <si>
    <t xml:space="preserve">https://www.distribuidorajcf.com.br/maos-pes</t>
  </si>
  <si>
    <t xml:space="preserve">Kit 100 unhas bailarina MU1007 - 12 kits</t>
  </si>
  <si>
    <t xml:space="preserve">Cada kit tem 100 unhas</t>
  </si>
  <si>
    <t xml:space="preserve">Cola de unha com pincel 10g - 12 frascos</t>
  </si>
  <si>
    <t xml:space="preserve">Cola unha postiça 3g - 20 frascos</t>
  </si>
  <si>
    <t xml:space="preserve">R$1,00 o frasco</t>
  </si>
  <si>
    <t xml:space="preserve">China</t>
  </si>
  <si>
    <t xml:space="preserve">Qingdao Fadvan Cosmetics (fábrica)</t>
  </si>
  <si>
    <t xml:space="preserve">Bandeja YY (Fadvan)</t>
  </si>
  <si>
    <t xml:space="preserve">Fadvan</t>
  </si>
  <si>
    <t xml:space="preserve">FOB R$5,26-6,70; mín. 2 un; 13 mil vendidos</t>
  </si>
  <si>
    <t xml:space="preserve">https://www.alibaba.com/trade/search?SearchText=yy+lashes+extension+tray</t>
  </si>
  <si>
    <t xml:space="preserve">Bandeja YW / 3D-5D W (Fadvan)</t>
  </si>
  <si>
    <t xml:space="preserve">FOB R$6,44-8,19; mín. 10 un</t>
  </si>
  <si>
    <t xml:space="preserve">Guangdong Jeleap</t>
  </si>
  <si>
    <t xml:space="preserve">Bandeja YY 0.05/0.07</t>
  </si>
  <si>
    <t xml:space="preserve">FOB R$10,71-11,74; mín. 10</t>
  </si>
  <si>
    <t xml:space="preserve">Qingdao Tinana</t>
  </si>
  <si>
    <t xml:space="preserve">Caixa clusters DIY</t>
  </si>
  <si>
    <t xml:space="preserve">FOB R$5,10-12,82; mín. 5 caixas</t>
  </si>
  <si>
    <t xml:space="preserve">https://www.alibaba.com/trade/search?SearchText=diy+cluster+lashes+box+wholesale</t>
  </si>
  <si>
    <t xml:space="preserve">Qingdao Dinghai Hengtong</t>
  </si>
  <si>
    <t xml:space="preserve">Livro de clusters DIY grande</t>
  </si>
  <si>
    <t xml:space="preserve">FOB R$10,25-13,34; mín. 2 caixas</t>
  </si>
  <si>
    <t xml:space="preserve">Guangzhou Chengtu</t>
  </si>
  <si>
    <t xml:space="preserve">Caixa 24 unhas degradê com cola</t>
  </si>
  <si>
    <t xml:space="preserve">FOB R$2,32-2,58; mín. 20 caixas</t>
  </si>
  <si>
    <t xml:space="preserve">https://www.alibaba.com/trade/search?SearchText=press+on+nails+24pcs+box+wholesale</t>
  </si>
  <si>
    <t xml:space="preserve">Yiwu Lulu</t>
  </si>
  <si>
    <t xml:space="preserve">Caixa 24 unhas pintadas</t>
  </si>
  <si>
    <t xml:space="preserve">FOB; mín. 12 caixas</t>
  </si>
  <si>
    <t xml:space="preserve">Guangzhou Mazy</t>
  </si>
  <si>
    <t xml:space="preserve">Caixa 24 unhas lisas (40 cores)</t>
  </si>
  <si>
    <t xml:space="preserve">FOB R$3,81-4,64; mín. 3</t>
  </si>
  <si>
    <t xml:space="preserve">Guangdong Baizhilin (BOZLIN)</t>
  </si>
  <si>
    <t xml:space="preserve">Esmalte em gel 15ml</t>
  </si>
  <si>
    <t xml:space="preserve">BOZLIN</t>
  </si>
  <si>
    <t xml:space="preserve">FOB R$3,09-4,90. Cosmético: exige regularização Anvisa para revender</t>
  </si>
  <si>
    <t xml:space="preserve">https://www.alibaba.com/trade/search?SearchText=uv+gel+nail+polish+15ml+wholesale</t>
  </si>
  <si>
    <t xml:space="preserve">Guangzhou ICE Cosmetic</t>
  </si>
  <si>
    <t xml:space="preserve">Esmalte em gel UV</t>
  </si>
  <si>
    <t xml:space="preserve">FOB R$5,62-7,62; mín. 100. Exige Anvisa</t>
  </si>
  <si>
    <t xml:space="preserve">Fonte da Beleza (importadora, SP)</t>
  </si>
  <si>
    <t xml:space="preserve">Esmalte em gel (cores, dúzia)</t>
  </si>
  <si>
    <t xml:space="preserve">Kiss She e outras</t>
  </si>
  <si>
    <t xml:space="preserve">pág. 34</t>
  </si>
  <si>
    <t xml:space="preserve">Catálogo Fonte Nail Design 21/09/2026 (PDF)</t>
  </si>
  <si>
    <t xml:space="preserve">Esmalte em gel - box 6 cores</t>
  </si>
  <si>
    <t xml:space="preserve">Box R$36 a R$60</t>
  </si>
  <si>
    <t xml:space="preserve">Painting gel (pote)</t>
  </si>
  <si>
    <t xml:space="preserve">Gel construtor (pote)</t>
  </si>
  <si>
    <t xml:space="preserve">X&amp;D</t>
  </si>
  <si>
    <t xml:space="preserve">Outro modelo R$90/dz</t>
  </si>
  <si>
    <t xml:space="preserve">Base / top coat</t>
  </si>
  <si>
    <t xml:space="preserve">pág. 33</t>
  </si>
  <si>
    <t xml:space="preserve">Base, primer, bond, ultrabond 15ml</t>
  </si>
  <si>
    <t xml:space="preserve">Fengshangmei</t>
  </si>
  <si>
    <t xml:space="preserve">Top coat R$156/dz</t>
  </si>
  <si>
    <t xml:space="preserve">Prep 120ml</t>
  </si>
  <si>
    <t xml:space="preserve">200ml R$6; 300ml R$7</t>
  </si>
  <si>
    <t xml:space="preserve">Prep 500ml</t>
  </si>
  <si>
    <t xml:space="preserve">1 litro R$12</t>
  </si>
  <si>
    <t xml:space="preserve">Removedor de gel (magic remover)</t>
  </si>
  <si>
    <t xml:space="preserve">Tips - caixa 120 unidades</t>
  </si>
  <si>
    <t xml:space="preserve">Vinsall / Honey Girl</t>
  </si>
  <si>
    <t xml:space="preserve">Tips para alongamento, não press-on</t>
  </si>
  <si>
    <t xml:space="preserve">Soft gel tips - caixa 200 unidades</t>
  </si>
  <si>
    <t xml:space="preserve">Vinsall</t>
  </si>
  <si>
    <t xml:space="preserve">Cuidados</t>
  </si>
  <si>
    <t xml:space="preserve">Óleo de cutícula caneta</t>
  </si>
  <si>
    <t xml:space="preserve">Dafu R$2,33</t>
  </si>
  <si>
    <t xml:space="preserve">Lixa mini boomerang - pacote 50</t>
  </si>
  <si>
    <t xml:space="preserve">Honey Girl</t>
  </si>
  <si>
    <t xml:space="preserve">Lixa reta 150/240: 50 por R$40</t>
  </si>
  <si>
    <t xml:space="preserve">Alicate de cutícula</t>
  </si>
  <si>
    <t xml:space="preserve">Outro modelo R$84/dz</t>
  </si>
  <si>
    <t xml:space="preserve">Cortador de tips</t>
  </si>
  <si>
    <t xml:space="preserve">Pincel nail art</t>
  </si>
  <si>
    <t xml:space="preserve">Kit 3 pincéis R$48/dz</t>
  </si>
  <si>
    <t xml:space="preserve">Mini cabine LED</t>
  </si>
  <si>
    <t xml:space="preserve">Dafu mini cabine R$9 a R$11</t>
  </si>
  <si>
    <t xml:space="preserve">Lanterna UV</t>
  </si>
  <si>
    <t xml:space="preserve">Motor lixa tipo caneta</t>
  </si>
  <si>
    <t xml:space="preserve">Motor profissional R$90</t>
  </si>
  <si>
    <t xml:space="preserve">Cabine grande</t>
  </si>
  <si>
    <t xml:space="preserve">Decorações (flores, glitter, strass)</t>
  </si>
  <si>
    <t xml:space="preserve">Faixa R$24 a R$54 a dúzia</t>
  </si>
  <si>
    <t xml:space="preserve">Nexxo Importadora</t>
  </si>
  <si>
    <t xml:space="preserve">Cartela 24 cartelinhas c/ 20 unhas (promo)</t>
  </si>
  <si>
    <t xml:space="preserve">K.nail</t>
  </si>
  <si>
    <t xml:space="preserve">Preço por cartelinha de 20 unhas simples; caixa 100 dz</t>
  </si>
  <si>
    <t xml:space="preserve">Catálogo Nexxo dúzia rev. 09/10/2026 (PDF)</t>
  </si>
  <si>
    <t xml:space="preserve">Cola de unha postiça (promo)</t>
  </si>
  <si>
    <t xml:space="preserve">Preço normal R$25,44/dz</t>
  </si>
  <si>
    <t xml:space="preserve">Cola de unha (caixa fechada)</t>
  </si>
  <si>
    <t xml:space="preserve">Só caixa fechada de 100 dz</t>
  </si>
  <si>
    <t xml:space="preserve">Catálogo Nexxo só caixa 02/10/2026 (PDF)</t>
  </si>
  <si>
    <t xml:space="preserve">Cola de unha Tek Bond 793</t>
  </si>
  <si>
    <t xml:space="preserve">Tek Bond</t>
  </si>
  <si>
    <t xml:space="preserve">Só caixa fechada de 648 un</t>
  </si>
  <si>
    <t xml:space="preserve">Cola de cílios Duo Eye transparente/branca</t>
  </si>
  <si>
    <t xml:space="preserve">Duo Eye</t>
  </si>
  <si>
    <t xml:space="preserve">Cola Salon Pro 30ml (tufinho/extensão)</t>
  </si>
  <si>
    <t xml:space="preserve">Salon Pro</t>
  </si>
  <si>
    <t xml:space="preserve">Só caixa fechada de 576 un; varejo ~R$25-30</t>
  </si>
  <si>
    <t xml:space="preserve">Cortador de unha artificial (promo)</t>
  </si>
  <si>
    <t xml:space="preserve">Código(s)</t>
  </si>
  <si>
    <t xml:space="preserve">Unid. por lote</t>
  </si>
  <si>
    <t xml:space="preserve">Preço unit. c/ 8% cx fechada</t>
  </si>
  <si>
    <t xml:space="preserve">Preço de venda pretendido (R$)</t>
  </si>
  <si>
    <t xml:space="preserve">Margem s/ venda</t>
  </si>
  <si>
    <t xml:space="preserve">Desconto cx fechada</t>
  </si>
  <si>
    <t xml:space="preserve">Fadvan YY (volume brasileiro)</t>
  </si>
  <si>
    <t xml:space="preserve">DF114-FF02; FF01-8/9/10/11/14</t>
  </si>
  <si>
    <t xml:space="preserve">Tamanhos/curvaturas variados</t>
  </si>
  <si>
    <t xml:space="preserve">Dafu</t>
  </si>
  <si>
    <t xml:space="preserve">Fadvan U-Shape YY</t>
  </si>
  <si>
    <t xml:space="preserve">DF114-FF29</t>
  </si>
  <si>
    <t xml:space="preserve">Fadvan M 12 linhas YY</t>
  </si>
  <si>
    <t xml:space="preserve">DF114-FF26</t>
  </si>
  <si>
    <t xml:space="preserve">Preencha a coluna amarela (J) com o seu preço de venda para ver a margem.</t>
  </si>
  <si>
    <t xml:space="preserve">Fadvan 3DW</t>
  </si>
  <si>
    <t xml:space="preserve">DF114-FF24; FF03-8/9/10/12/13/14</t>
  </si>
  <si>
    <t xml:space="preserve">Fonte: catálogos Dafu (pasta NOVA DAFU CATALOGO, out/2026).</t>
  </si>
  <si>
    <t xml:space="preserve">Fadvan Double Layer 3DW</t>
  </si>
  <si>
    <t xml:space="preserve">DF114-FF09</t>
  </si>
  <si>
    <t xml:space="preserve">Fadvan 4DW</t>
  </si>
  <si>
    <t xml:space="preserve">DF114-FF04; FF04-9/10/11/12/13/14</t>
  </si>
  <si>
    <t xml:space="preserve">FF04-8 sai R$22</t>
  </si>
  <si>
    <t xml:space="preserve">Fadvan Double Layer 4DW</t>
  </si>
  <si>
    <t xml:space="preserve">DF114-FF10</t>
  </si>
  <si>
    <t xml:space="preserve">Fadvan 5DW</t>
  </si>
  <si>
    <t xml:space="preserve">DF114-FF06; FF05-8/9/10/13/14</t>
  </si>
  <si>
    <t xml:space="preserve">Fadvan M 12 linhas 5DW</t>
  </si>
  <si>
    <t xml:space="preserve">DF114-FF28</t>
  </si>
  <si>
    <t xml:space="preserve">DeceMars YY / UYY (8-14mm e mix)</t>
  </si>
  <si>
    <t xml:space="preserve">DM-MYY01; DM-UYY8/11/13/14/01</t>
  </si>
  <si>
    <t xml:space="preserve">DeceMars 4DW</t>
  </si>
  <si>
    <t xml:space="preserve">DM-4D9; 4D10; 4D14</t>
  </si>
  <si>
    <t xml:space="preserve">DeceMars 5DW (inclui marrom mix)</t>
  </si>
  <si>
    <t xml:space="preserve">DM-5D8; 5D10; 5D12; 5D02</t>
  </si>
  <si>
    <t xml:space="preserve">DM-5D9 sai R$22</t>
  </si>
  <si>
    <t xml:space="preserve">DeceMars 6D</t>
  </si>
  <si>
    <t xml:space="preserve">DM-6D8; 6D9; 6D13</t>
  </si>
  <si>
    <t xml:space="preserve">Tufinho tira simples</t>
  </si>
  <si>
    <t xml:space="preserve">DF107-FF18</t>
  </si>
  <si>
    <t xml:space="preserve">Item muito barato - conferir o que é</t>
  </si>
  <si>
    <t xml:space="preserve">Tufinho 4 tamanhos 8-14mm</t>
  </si>
  <si>
    <t xml:space="preserve">DF107-FF24-8~14</t>
  </si>
  <si>
    <t xml:space="preserve">Tufinho caixa pequena</t>
  </si>
  <si>
    <t xml:space="preserve">DF108-FF0102-1/2</t>
  </si>
  <si>
    <t xml:space="preserve">Tufinho caixa</t>
  </si>
  <si>
    <t xml:space="preserve">DF107-FF84</t>
  </si>
  <si>
    <t xml:space="preserve">Tufinho caixa (catálogo mostra lote divergente)</t>
  </si>
  <si>
    <t xml:space="preserve">DF107-FF31; FF89</t>
  </si>
  <si>
    <t xml:space="preserve">Catálogo traz lote R$45/R$72 - confirmar</t>
  </si>
  <si>
    <t xml:space="preserve">Tufinho 20P/30P/40P</t>
  </si>
  <si>
    <t xml:space="preserve">DF107-FF85; FF86; FF60</t>
  </si>
  <si>
    <t xml:space="preserve">DF107-FF79; FF80</t>
  </si>
  <si>
    <t xml:space="preserve">DF107-FF81</t>
  </si>
  <si>
    <t xml:space="preserve">Tufinho caixa média</t>
  </si>
  <si>
    <t xml:space="preserve">DF107-FF109 a FF113; FF121; FF122</t>
  </si>
  <si>
    <t xml:space="preserve">DF107-FF123; FF87</t>
  </si>
  <si>
    <t xml:space="preserve">Tufinho caixa decorada (sem fios)</t>
  </si>
  <si>
    <t xml:space="preserve">108-FF05/07/08/09/10; DF108-FF0205-1/4</t>
  </si>
  <si>
    <t xml:space="preserve">Tufinho blister grande</t>
  </si>
  <si>
    <t xml:space="preserve">DF105-FF05; FF06; FF07</t>
  </si>
  <si>
    <t xml:space="preserve">Extensão em casa</t>
  </si>
  <si>
    <t xml:space="preserve">108-FF13</t>
  </si>
  <si>
    <t xml:space="preserve">Tufinho mega caixa</t>
  </si>
  <si>
    <t xml:space="preserve">DF107-FF92; FF52; FF51; FF53; FF19; FF20</t>
  </si>
  <si>
    <t xml:space="preserve">DF107-FF124; FF55; FF57; FF58; FF21; 108-FF11/12/14; AD4919-SR131</t>
  </si>
  <si>
    <t xml:space="preserve">DF107-FF125 a FF128; FF115; FF116; FF41; FF90; FF96; 118-FF07/09/10; AD4909-SR071</t>
  </si>
  <si>
    <t xml:space="preserve">DF107-FF120</t>
  </si>
  <si>
    <t xml:space="preserve">DF107-FF129; FF118</t>
  </si>
  <si>
    <t xml:space="preserve">DF107-FF98; FF101; FF114</t>
  </si>
  <si>
    <t xml:space="preserve">Extensão em casa grande</t>
  </si>
  <si>
    <t xml:space="preserve">108-FF15; FF16</t>
  </si>
  <si>
    <t xml:space="preserve">Kit tufinho + pinça + cola (modelo)</t>
  </si>
  <si>
    <t xml:space="preserve">DF107-FF74; FF75; FF76</t>
  </si>
  <si>
    <t xml:space="preserve">Kit tufinho + pinça + cola</t>
  </si>
  <si>
    <t xml:space="preserve">DF107-FF103; FF104; FF105; FF106</t>
  </si>
  <si>
    <t xml:space="preserve">Cílios postiços (vários pares)</t>
  </si>
  <si>
    <t xml:space="preserve">118-CR0603-2/3</t>
  </si>
  <si>
    <t xml:space="preserve">Cílios postiços</t>
  </si>
  <si>
    <t xml:space="preserve">118-CR04</t>
  </si>
  <si>
    <t xml:space="preserve">118-CR0503-1/2/3</t>
  </si>
  <si>
    <t xml:space="preserve">Cola de cílios Cola (branca/preta)</t>
  </si>
  <si>
    <t xml:space="preserve">DF-CL017; DF-CL018</t>
  </si>
  <si>
    <t xml:space="preserve">Cola extensão (frasco)</t>
  </si>
  <si>
    <t xml:space="preserve">DF101CL353; CL354; CL355</t>
  </si>
  <si>
    <t xml:space="preserve">Vendido por unidade</t>
  </si>
  <si>
    <t xml:space="preserve">Cola extensão Axxl (frasco)</t>
  </si>
  <si>
    <t xml:space="preserve">DF101CL357</t>
  </si>
  <si>
    <t xml:space="preserve">Removedor</t>
  </si>
  <si>
    <t xml:space="preserve">Removedor Salon Pro</t>
  </si>
  <si>
    <t xml:space="preserve">DF101CL356</t>
  </si>
  <si>
    <t xml:space="preserve">Removedor caneta 10ml</t>
  </si>
  <si>
    <t xml:space="preserve">DF101-CL341</t>
  </si>
  <si>
    <t xml:space="preserve">Removedor (caixa)</t>
  </si>
  <si>
    <t xml:space="preserve">DF-RM01</t>
  </si>
  <si>
    <t xml:space="preserve">Acessório</t>
  </si>
  <si>
    <t xml:space="preserve">Suporte acrílico para bandejas</t>
  </si>
  <si>
    <t xml:space="preserve">DF101-PC368</t>
  </si>
  <si>
    <t xml:space="preserve">Unha postiça básica</t>
  </si>
  <si>
    <t xml:space="preserve">7-UN2079</t>
  </si>
  <si>
    <t xml:space="preserve">Novidade 21/10: R$2,00</t>
  </si>
  <si>
    <t xml:space="preserve">379-UN0205-1/5</t>
  </si>
  <si>
    <t xml:space="preserve">DF-UN010017-08-01/07</t>
  </si>
  <si>
    <t xml:space="preserve">7-UN2078</t>
  </si>
  <si>
    <t xml:space="preserve">Novidade 21/10: R$3,00</t>
  </si>
  <si>
    <t xml:space="preserve">379-UN0105-1/5</t>
  </si>
  <si>
    <t xml:space="preserve">Unha postiça (bag 24un)</t>
  </si>
  <si>
    <t xml:space="preserve">DF65-UP3506-1/4; DF65-UP3607-1/4</t>
  </si>
  <si>
    <t xml:space="preserve">7-UN33902-1/2</t>
  </si>
  <si>
    <t xml:space="preserve">Novidade 21/10</t>
  </si>
  <si>
    <t xml:space="preserve">Unha postiça natural/transparente</t>
  </si>
  <si>
    <t xml:space="preserve">DF105-UP01N; UP01T; UP04N; UP04T; 7-UN2080</t>
  </si>
  <si>
    <t xml:space="preserve">DF41-UP10T; UP10N; UP12T; UP12N; UP13N</t>
  </si>
  <si>
    <t xml:space="preserve">7-UN270103-1</t>
  </si>
  <si>
    <t xml:space="preserve">DF41-UN56; DF41-UN2405-2/3/4</t>
  </si>
  <si>
    <t xml:space="preserve">DF-UN041002-03-01/02; DF7-UN10913; DF41-MJ6303-2; DF-UP100-N38; 67-UP01/02/03</t>
  </si>
  <si>
    <t xml:space="preserve">Unha postiça decorada</t>
  </si>
  <si>
    <t xml:space="preserve">DF65-UN4105-1/5; DF41-UN60; DF41-UN1407-1/7; DF-UNPT24-1/28; DF-UNPQ24-4/6; DF7-UN10611</t>
  </si>
  <si>
    <t xml:space="preserve">DF65-UP3802-1/2; DF65-UP31-11/20</t>
  </si>
  <si>
    <t xml:space="preserve">DF-UNPT-35/42; DF65-UP3310-1/10</t>
  </si>
  <si>
    <t xml:space="preserve">Unha postiça decorada premium</t>
  </si>
  <si>
    <t xml:space="preserve">DF-UNPT-19/34; DF66-UP2704-01/05; DF66-UP1801; DF66-MJ38; 379-UN0605</t>
  </si>
  <si>
    <t xml:space="preserve">Unha postiça (pacote 6)</t>
  </si>
  <si>
    <t xml:space="preserve">DF41-MJ2013-3/5/6/7/10/11/12/13</t>
  </si>
  <si>
    <t xml:space="preserve">Unha postiça premium</t>
  </si>
  <si>
    <t xml:space="preserve">DF66-MJ3702-2</t>
  </si>
  <si>
    <t xml:space="preserve">DF66-MJ1601</t>
  </si>
  <si>
    <t xml:space="preserve">DF66-MJ3702-1</t>
  </si>
  <si>
    <t xml:space="preserve">Unha postiça premium (6)</t>
  </si>
  <si>
    <t xml:space="preserve">DF66-MJ3605-1/6</t>
  </si>
  <si>
    <t xml:space="preserve">DF41-MJ49/50/52/53/54/59</t>
  </si>
  <si>
    <t xml:space="preserve">DF41-MJ17; DF66-MJ3706-1/6</t>
  </si>
  <si>
    <t xml:space="preserve">DF41-MJ42; DF41-MJ47</t>
  </si>
  <si>
    <t xml:space="preserve">DF41-MJ48; DF66-MJ3703-1/3</t>
  </si>
  <si>
    <t xml:space="preserve">Unha postiça luxo (6)</t>
  </si>
  <si>
    <t xml:space="preserve">DF41-MJ22</t>
  </si>
  <si>
    <t xml:space="preserve">DF41-MJ51</t>
  </si>
  <si>
    <t xml:space="preserve">Esmalte 5ml (76 cores)</t>
  </si>
  <si>
    <t xml:space="preserve">DF-ONE76</t>
  </si>
  <si>
    <t xml:space="preserve">Esmalte 12ml</t>
  </si>
  <si>
    <t xml:space="preserve">DF-MD40</t>
  </si>
  <si>
    <t xml:space="preserve">DF-EM80M; DF-ONE40</t>
  </si>
  <si>
    <t xml:space="preserve">DF-EM12-M1; DF-LS06-RO; DF-LS01-05</t>
  </si>
  <si>
    <t xml:space="preserve">Esmalte 80/98 cores</t>
  </si>
  <si>
    <t xml:space="preserve">DF-EM80X; DF-EM98</t>
  </si>
  <si>
    <t xml:space="preserve">BL04-1; BL04-3; BL04-4</t>
  </si>
  <si>
    <t xml:space="preserve">Esmalte LS</t>
  </si>
  <si>
    <t xml:space="preserve">LS1201; LS01/02/03/04/06/07/09/10/12</t>
  </si>
  <si>
    <t xml:space="preserve">Esmalte em gel 10ml</t>
  </si>
  <si>
    <t xml:space="preserve">ENRY-12P1; ENRY04-B1; ENRY12-N1</t>
  </si>
  <si>
    <t xml:space="preserve">Varejo Dafu gel 10ml ~R$18,99</t>
  </si>
  <si>
    <t xml:space="preserve">Esmalte em gel 12ml (coleções)</t>
  </si>
  <si>
    <t xml:space="preserve">EM80RY; DF-MAX38; EMRY-12N3/12V3/12C/12A/12M2/12BL/12PR/12OR; DFRY-12T3; EMUV12-1RY/2RY; AZ12; DFRY-12BL</t>
  </si>
  <si>
    <t xml:space="preserve">Esmalte em gel (box 6)</t>
  </si>
  <si>
    <t xml:space="preserve">RE6</t>
  </si>
  <si>
    <t xml:space="preserve">Esmalte em gel Glamour</t>
  </si>
  <si>
    <t xml:space="preserve">MGRY11; MGRY0606/0607/0608/0609; MGRY10; MGRY1202; MGRY1215-1218; MGRY-0612; EMRY-12V2</t>
  </si>
  <si>
    <t xml:space="preserve">Esmalte em gel Max</t>
  </si>
  <si>
    <t xml:space="preserve">DF-MAX-TP</t>
  </si>
  <si>
    <t xml:space="preserve">Non-acid / Balancing / Ultrabond</t>
  </si>
  <si>
    <t xml:space="preserve">DF-PM10; DF-PH10</t>
  </si>
  <si>
    <t xml:space="preserve">Top coat / Fosco / Base coat</t>
  </si>
  <si>
    <t xml:space="preserve">DF-TP10; DF-GN07FS; DF-BS10</t>
  </si>
  <si>
    <t xml:space="preserve">PH Balancing / Prime non-acid</t>
  </si>
  <si>
    <t xml:space="preserve">DF-GN02PH; DF-GN03PM</t>
  </si>
  <si>
    <t xml:space="preserve">Base / Top coat GN</t>
  </si>
  <si>
    <t xml:space="preserve">DF-GN01BS; DF-GN06TP; RPO4PH; RPO5UL; RPO6PR</t>
  </si>
  <si>
    <t xml:space="preserve">Bond ácido / Top coat</t>
  </si>
  <si>
    <t xml:space="preserve">BD03; TP02</t>
  </si>
  <si>
    <t xml:space="preserve">Base coat / Top blindado</t>
  </si>
  <si>
    <t xml:space="preserve">RPO1SB; RPO2BT; RPO3FT</t>
  </si>
  <si>
    <t xml:space="preserve">Só por dúzia</t>
  </si>
  <si>
    <t xml:space="preserve">Prep 200ml</t>
  </si>
  <si>
    <t xml:space="preserve">Prep 300ml</t>
  </si>
  <si>
    <t xml:space="preserve">Removedor de esmalte (box 6)</t>
  </si>
  <si>
    <t xml:space="preserve">DF-RM01 (unhas)</t>
  </si>
  <si>
    <t xml:space="preserve">Refil gel</t>
  </si>
  <si>
    <t xml:space="preserve">DF-GE01RF; GE02RF; GE03RF; GE06RF; GE07RF</t>
  </si>
  <si>
    <t xml:space="preserve">RF01; RF02; RF05; RF06; RF08</t>
  </si>
  <si>
    <t xml:space="preserve">Spider gel</t>
  </si>
  <si>
    <t xml:space="preserve">DF-SG5-1/5</t>
  </si>
  <si>
    <t xml:space="preserve">Painting gel</t>
  </si>
  <si>
    <t xml:space="preserve">PT12M; PT11PT; PT12BC; PT13DO; PT14DO</t>
  </si>
  <si>
    <t xml:space="preserve">Painting gel LX</t>
  </si>
  <si>
    <t xml:space="preserve">RY05LX-1/5</t>
  </si>
  <si>
    <t xml:space="preserve">Gel construtor</t>
  </si>
  <si>
    <t xml:space="preserve">HD01-HD13; GEL01-N a GEL13-N; GEL04-G a GEL13-G</t>
  </si>
  <si>
    <t xml:space="preserve">GEL08-N catálogo diz R$7,00</t>
  </si>
  <si>
    <t xml:space="preserve">Gel 5D / gel sólido</t>
  </si>
  <si>
    <t xml:space="preserve">5D-P; 5D-T; SL1G</t>
  </si>
  <si>
    <t xml:space="preserve">Gel PG</t>
  </si>
  <si>
    <t xml:space="preserve">PG1/10</t>
  </si>
  <si>
    <t xml:space="preserve">Cola para unhas</t>
  </si>
  <si>
    <t xml:space="preserve">DF-CL010001-03-01/03</t>
  </si>
  <si>
    <t xml:space="preserve">Óleo de cutícula</t>
  </si>
  <si>
    <t xml:space="preserve">DF68-OL01</t>
  </si>
  <si>
    <t xml:space="preserve">Hidratante</t>
  </si>
  <si>
    <t xml:space="preserve">DF68-OL02</t>
  </si>
  <si>
    <t xml:space="preserve">Catálogo: lote 54 / unit 4,00</t>
  </si>
  <si>
    <t xml:space="preserve">Óleo de cutícula 6 modelos</t>
  </si>
  <si>
    <t xml:space="preserve">DF68-OL06</t>
  </si>
  <si>
    <t xml:space="preserve">Lixa</t>
  </si>
  <si>
    <t xml:space="preserve">DF-BL1004-80/240</t>
  </si>
  <si>
    <t xml:space="preserve">DF-BL1007</t>
  </si>
  <si>
    <t xml:space="preserve">DF-BL1006</t>
  </si>
  <si>
    <t xml:space="preserve">DF-BL1002-120/180/240</t>
  </si>
  <si>
    <t xml:space="preserve">DF-BL1008</t>
  </si>
  <si>
    <t xml:space="preserve">DF-BL1003</t>
  </si>
  <si>
    <t xml:space="preserve">DF-BL1001</t>
  </si>
  <si>
    <t xml:space="preserve">Alicate</t>
  </si>
  <si>
    <t xml:space="preserve">116-AT17</t>
  </si>
  <si>
    <t xml:space="preserve">116-AT14</t>
  </si>
  <si>
    <t xml:space="preserve">116-AT13</t>
  </si>
  <si>
    <t xml:space="preserve">116-AT16</t>
  </si>
  <si>
    <t xml:space="preserve">116-AT01</t>
  </si>
  <si>
    <t xml:space="preserve">Alicate profissional</t>
  </si>
  <si>
    <t xml:space="preserve">116-AT02/03/05/06</t>
  </si>
  <si>
    <t xml:space="preserve">Caneta pega strass</t>
  </si>
  <si>
    <t xml:space="preserve">DF-UP095018</t>
  </si>
  <si>
    <t xml:space="preserve">Pincel unha</t>
  </si>
  <si>
    <t xml:space="preserve">DF12-PU02</t>
  </si>
  <si>
    <t xml:space="preserve">Carimbo</t>
  </si>
  <si>
    <t xml:space="preserve">DF7-GT4201</t>
  </si>
  <si>
    <t xml:space="preserve">Imã esmalte magnético</t>
  </si>
  <si>
    <t xml:space="preserve">DF-IM066004; DF-IM066005; DF66-IM22</t>
  </si>
  <si>
    <t xml:space="preserve">R$2,50 a R$3,33</t>
  </si>
  <si>
    <t xml:space="preserve">Cabine LED/UV</t>
  </si>
  <si>
    <t xml:space="preserve">DF-LU036002</t>
  </si>
  <si>
    <t xml:space="preserve">Novidade beauty 17/10</t>
  </si>
  <si>
    <t xml:space="preserve">DF66-LE33</t>
  </si>
  <si>
    <t xml:space="preserve">332-LUTY009</t>
  </si>
  <si>
    <t xml:space="preserve">332-LUL5</t>
  </si>
  <si>
    <t xml:space="preserve">DF-G1</t>
  </si>
  <si>
    <t xml:space="preserve">332-LUC20</t>
  </si>
  <si>
    <t xml:space="preserve">332-LUX20</t>
  </si>
  <si>
    <t xml:space="preserve">332-LUS10</t>
  </si>
  <si>
    <t xml:space="preserve">DF-L9</t>
  </si>
  <si>
    <t xml:space="preserve">Cabine mini (dúzia)</t>
  </si>
  <si>
    <t xml:space="preserve">DF328-LU03</t>
  </si>
  <si>
    <t xml:space="preserve">DF328-LU05</t>
  </si>
  <si>
    <t xml:space="preserve">332-LU03</t>
  </si>
  <si>
    <t xml:space="preserve">Motorzinho lixa</t>
  </si>
  <si>
    <t xml:space="preserve">332-LUD3</t>
  </si>
  <si>
    <t xml:space="preserve">Sugador de pó</t>
  </si>
  <si>
    <t xml:space="preserve">332-LU808-1; 332-LU858S</t>
  </si>
  <si>
    <t xml:space="preserve">DF7-GT20202-1/2; DF7-GT166; DF-GT007047; 7-GT318; 7-GT31905-1/5</t>
  </si>
  <si>
    <t xml:space="preserve">Decoração (24un)</t>
  </si>
  <si>
    <t xml:space="preserve">7-GT3001; 7-GT2052</t>
  </si>
  <si>
    <t xml:space="preserve">DF14-GT19; 7-GT32303-1/3</t>
  </si>
  <si>
    <t xml:space="preserve">DF14-GT26/27/28/29/30</t>
  </si>
  <si>
    <t xml:space="preserve">DF14-GT15; DF7-GT200/54/167/16302/104/103/196/182011/18302; 7-GT320</t>
  </si>
  <si>
    <t xml:space="preserve">DF7-GT127; DF-GT007020-02</t>
  </si>
  <si>
    <t xml:space="preserve">DF7-GT93/10202/17202/7502-01/9903-3/181/73-12; DF14-GT0602-1/2/1302; 7-GT2043</t>
  </si>
  <si>
    <t xml:space="preserve">DF7-GT158/5302-1; 7-GT2086; DF-GT42</t>
  </si>
  <si>
    <t xml:space="preserve">DF7-GT134/10103; DF-GT007128</t>
  </si>
  <si>
    <t xml:space="preserve">DF7-GT56/157/154/169/155</t>
  </si>
  <si>
    <t xml:space="preserve">DF7-GT48/13503-2/7502-02/46/145/95/4003-2/16403/60; DF14-GT24/17; 7-GT2103; 7-GT31102</t>
  </si>
  <si>
    <t xml:space="preserve">DF7-GT13503-1</t>
  </si>
  <si>
    <t xml:space="preserve">DF-GT43; DF7-GT4603-1</t>
  </si>
  <si>
    <t xml:space="preserve">DF-GT44; 7-GT2044/2046/2051; DF7-GT153/19804</t>
  </si>
  <si>
    <t xml:space="preserve">Decoração / pó magnético</t>
  </si>
  <si>
    <t xml:space="preserve">DF14-GT31; 7-GT2053/2054/2039/203802/2037/2045/2036/2042/2035; DF7-GT96; 7-GT202704</t>
  </si>
  <si>
    <t xml:space="preserve">7-GT3002/2081/2082</t>
  </si>
  <si>
    <t xml:space="preserve">7-GT2041</t>
  </si>
  <si>
    <t xml:space="preserve">Decoração (6)</t>
  </si>
  <si>
    <t xml:space="preserve">DF14-GT23</t>
  </si>
  <si>
    <t xml:space="preserve">Produto (como está no site)</t>
  </si>
  <si>
    <t xml:space="preserve">Código</t>
  </si>
  <si>
    <t xml:space="preserve">Fonte: zhangmaquiagem.com.br, campo 'preço unidade', 22/10/2026. Venda em caixa (c/6, c/10, c/12, c/24).</t>
  </si>
  <si>
    <t xml:space="preserve">cilios amor angel 1 pare c/24pcs</t>
  </si>
  <si>
    <t xml:space="preserve">5D-08</t>
  </si>
  <si>
    <t xml:space="preserve">CILIOS AMOR ANJA 1 PAR C/24PCS</t>
  </si>
  <si>
    <t xml:space="preserve">5D-107</t>
  </si>
  <si>
    <t xml:space="preserve">cilios amor anjo</t>
  </si>
  <si>
    <t xml:space="preserve">AA-5D-51</t>
  </si>
  <si>
    <t xml:space="preserve">AA-5D-56</t>
  </si>
  <si>
    <t xml:space="preserve">CILIOS AMOR ANJO</t>
  </si>
  <si>
    <t xml:space="preserve">5D-41</t>
  </si>
  <si>
    <t xml:space="preserve">CILIOS AMOR ANJO 5PAR</t>
  </si>
  <si>
    <t xml:space="preserve">5D-10</t>
  </si>
  <si>
    <t xml:space="preserve">5D-23</t>
  </si>
  <si>
    <t xml:space="preserve">cilios amor anjo C/5</t>
  </si>
  <si>
    <t xml:space="preserve">5D-12</t>
  </si>
  <si>
    <t xml:space="preserve">5D-14</t>
  </si>
  <si>
    <t xml:space="preserve">5D-21</t>
  </si>
  <si>
    <t xml:space="preserve">5D-26</t>
  </si>
  <si>
    <t xml:space="preserve">5D-28</t>
  </si>
  <si>
    <t xml:space="preserve">5D-19</t>
  </si>
  <si>
    <t xml:space="preserve">CILIOS AMOR ANJO C/5PAR</t>
  </si>
  <si>
    <t xml:space="preserve">SL-07</t>
  </si>
  <si>
    <t xml:space="preserve">SL-06</t>
  </si>
  <si>
    <t xml:space="preserve">SL-05</t>
  </si>
  <si>
    <t xml:space="preserve">SL-16</t>
  </si>
  <si>
    <t xml:space="preserve">SL-02</t>
  </si>
  <si>
    <t xml:space="preserve">SL-08</t>
  </si>
  <si>
    <t xml:space="preserve">cilios posticas amor anjo 5D 1pare c/24pcs</t>
  </si>
  <si>
    <t xml:space="preserve">5D-56</t>
  </si>
  <si>
    <t xml:space="preserve">5D-011</t>
  </si>
  <si>
    <t xml:space="preserve">5D-51</t>
  </si>
  <si>
    <t xml:space="preserve">5D-15</t>
  </si>
  <si>
    <t xml:space="preserve">5D-312</t>
  </si>
  <si>
    <t xml:space="preserve">CILIOS POSTICO AMOR ANJO 1 PAR C/12PCS</t>
  </si>
  <si>
    <t xml:space="preserve">AM-5D-51</t>
  </si>
  <si>
    <t xml:space="preserve">CILIOS POSTICOS AMOR ANJO C/12PAR</t>
  </si>
  <si>
    <t xml:space="preserve">AM-5D-15</t>
  </si>
  <si>
    <t xml:space="preserve">CILIOS POSTICOS AMOR ANJO C/1PAR</t>
  </si>
  <si>
    <t xml:space="preserve">CS010-26</t>
  </si>
  <si>
    <t xml:space="preserve">CS010-23</t>
  </si>
  <si>
    <t xml:space="preserve">CS010-21</t>
  </si>
  <si>
    <t xml:space="preserve">CS010-10</t>
  </si>
  <si>
    <t xml:space="preserve">CS010-19</t>
  </si>
  <si>
    <t xml:space="preserve">AM-5D-11</t>
  </si>
  <si>
    <t xml:space="preserve">CS010-28</t>
  </si>
  <si>
    <t xml:space="preserve">CS010-13</t>
  </si>
  <si>
    <t xml:space="preserve">AM-5D-312</t>
  </si>
  <si>
    <t xml:space="preserve">AM-5D-08</t>
  </si>
  <si>
    <t xml:space="preserve">CS010-14</t>
  </si>
  <si>
    <t xml:space="preserve">CS010-12</t>
  </si>
  <si>
    <t xml:space="preserve">AM-5D-011</t>
  </si>
  <si>
    <t xml:space="preserve">CILIOS POSTICOS CO 5 PARIS MACRILAN C/6PCS</t>
  </si>
  <si>
    <t xml:space="preserve">EB102</t>
  </si>
  <si>
    <t xml:space="preserve">CILIOS POSTICOS COM 5 PARIS MACRILAN C/6PCS</t>
  </si>
  <si>
    <t xml:space="preserve">EB101</t>
  </si>
  <si>
    <t xml:space="preserve">CILIOS TUFILHO 10P LOVE RAIN C/12PCS</t>
  </si>
  <si>
    <t xml:space="preserve">JM0517</t>
  </si>
  <si>
    <t xml:space="preserve">CILIOS TUFILHO 40P LOVE RAIN C/12PCS</t>
  </si>
  <si>
    <t xml:space="preserve">JM0509</t>
  </si>
  <si>
    <t xml:space="preserve">CILIOS TUFILHO 50P LOVE RAIN C/12PCS</t>
  </si>
  <si>
    <t xml:space="preserve">JM0519</t>
  </si>
  <si>
    <t xml:space="preserve">CILIOS TUFINHO 20D-14MM AMOR ANJO C/10PCS</t>
  </si>
  <si>
    <t xml:space="preserve">AA-20D-14MM</t>
  </si>
  <si>
    <t xml:space="preserve">CILIOS TUFINHO 20D-8MM AMOR ANJO C/10PCS</t>
  </si>
  <si>
    <t xml:space="preserve">AA-20D-8MM</t>
  </si>
  <si>
    <t xml:space="preserve">CILIOS TUFINHO 20P- 14M NEW SHOW C/10PCS</t>
  </si>
  <si>
    <t xml:space="preserve">AD4838 20P-14MM</t>
  </si>
  <si>
    <t xml:space="preserve">CILIOS TUFINHO NEW SHOW 20P C/10PCS</t>
  </si>
  <si>
    <t xml:space="preserve">AD4497A-20P</t>
  </si>
  <si>
    <t xml:space="preserve">CILIOS TUFINHO NEW SHOW 20P C/12PCS</t>
  </si>
  <si>
    <t xml:space="preserve">AD4937-20P</t>
  </si>
  <si>
    <t xml:space="preserve">CILIOS TUFINHO NEW SHOW 30P C/10PCS</t>
  </si>
  <si>
    <t xml:space="preserve">AD4497A-30P</t>
  </si>
  <si>
    <t xml:space="preserve">CILIOS TUFINHO NEW SHOW 30P C/12PCS</t>
  </si>
  <si>
    <t xml:space="preserve">AD4937-30P</t>
  </si>
  <si>
    <t xml:space="preserve">CILIOS TUFINHO SABRINA SATO 20P C/12PCS</t>
  </si>
  <si>
    <t xml:space="preserve">SP3261</t>
  </si>
  <si>
    <t xml:space="preserve">CILIOS TUFINHO SABRINA SATO 30P C/12PCS</t>
  </si>
  <si>
    <t xml:space="preserve">SP3262</t>
  </si>
  <si>
    <t xml:space="preserve">CILIOS TUFINLHO 20P NEW SHOW MIX C/12CPS</t>
  </si>
  <si>
    <t xml:space="preserve">AD4919-20P</t>
  </si>
  <si>
    <t xml:space="preserve">AD4073-20P</t>
  </si>
  <si>
    <t xml:space="preserve">CILIOS TUFINLHO 20P-30P NEW SHOW MIX C/12CPS</t>
  </si>
  <si>
    <t xml:space="preserve">AD4918-20P-30P</t>
  </si>
  <si>
    <t xml:space="preserve">CILIOS TUFINLHO 40P NEW SHOW MIX C/12CPS</t>
  </si>
  <si>
    <t xml:space="preserve">AD4919-40P</t>
  </si>
  <si>
    <t xml:space="preserve">CILIOS TUFINLHO NEW SHOW 20P C/10PCS</t>
  </si>
  <si>
    <t xml:space="preserve">AD4546-20P</t>
  </si>
  <si>
    <t xml:space="preserve">CILIOS TUFINLHO NEW SHOW 20P C/12PCS</t>
  </si>
  <si>
    <t xml:space="preserve">AD5320-20P</t>
  </si>
  <si>
    <t xml:space="preserve">CILIOS TUFINLHO NEW SHOW 30P C/10PCS</t>
  </si>
  <si>
    <t xml:space="preserve">AD4546-30P</t>
  </si>
  <si>
    <t xml:space="preserve">CILIOS TUFINLHO NEW SHOW 30P C/12PCS</t>
  </si>
  <si>
    <t xml:space="preserve">AD5320-30P</t>
  </si>
  <si>
    <t xml:space="preserve">CILIOS TUFINLHO NEW SHOW 30PC/12PCS</t>
  </si>
  <si>
    <t xml:space="preserve">AD5276-30P</t>
  </si>
  <si>
    <t xml:space="preserve">CILIOS TUFINLHO NEW SHOW 40P C/12PCS</t>
  </si>
  <si>
    <t xml:space="preserve">AD5320-40P</t>
  </si>
  <si>
    <t xml:space="preserve">KIT CILIOIS TUFINHO LOVE RAIN 10P-20P C/12CPS</t>
  </si>
  <si>
    <t xml:space="preserve">JM0501-1</t>
  </si>
  <si>
    <t xml:space="preserve">KIT CILIOS 20P SABRINA SATO C/12PCS</t>
  </si>
  <si>
    <t xml:space="preserve">SP3359</t>
  </si>
  <si>
    <t xml:space="preserve">KIT CILIOS 30P SABRINA SATO C/12PCS</t>
  </si>
  <si>
    <t xml:space="preserve">SP3358</t>
  </si>
  <si>
    <t xml:space="preserve">KIT CILIOS 40P SABRINA SATO C/12PCS</t>
  </si>
  <si>
    <t xml:space="preserve">SP3360</t>
  </si>
  <si>
    <t xml:space="preserve">KIT CILIOS AMOR ANJO C/10PCS</t>
  </si>
  <si>
    <t xml:space="preserve">AM-CL004-2</t>
  </si>
  <si>
    <t xml:space="preserve">AM-CL004-5</t>
  </si>
  <si>
    <t xml:space="preserve">AM-CL004-3</t>
  </si>
  <si>
    <t xml:space="preserve">KIT CILIOS AMORANJO C/10PCS</t>
  </si>
  <si>
    <t xml:space="preserve">AM-CL016AB</t>
  </si>
  <si>
    <t xml:space="preserve">KIT CILIOS LOVE RAIN 20P-30P C/12PCS</t>
  </si>
  <si>
    <t xml:space="preserve">JM0501-2</t>
  </si>
  <si>
    <t xml:space="preserve">KIT CILIOS LOVE RAIN 30P-40P C/12PCS</t>
  </si>
  <si>
    <t xml:space="preserve">JM0501-3</t>
  </si>
  <si>
    <t xml:space="preserve">KIT CILIOS NEW SHOW 30P-40P C/12PCS</t>
  </si>
  <si>
    <t xml:space="preserve">AD4913-30P-40P</t>
  </si>
  <si>
    <t xml:space="preserve">KIT CILIOS TUFINLHO NEW SHOW 12P-20P C/12CPS</t>
  </si>
  <si>
    <t xml:space="preserve">BL-43-3-12P-20P</t>
  </si>
  <si>
    <t xml:space="preserve">KIT CILIOS TUFINLHO NEW SHOW 20P-30P C/12CPS</t>
  </si>
  <si>
    <t xml:space="preserve">BL-43-1-20P-30P</t>
  </si>
  <si>
    <t xml:space="preserve">KIT CILIOS TUFINLHO NEW SHOW 30P-40P C/12CPS</t>
  </si>
  <si>
    <t xml:space="preserve">BL-43-2-30P-40P</t>
  </si>
  <si>
    <t xml:space="preserve">KIT CILIOS TUFINLHO SABRINA SATO 20P C/12PCS</t>
  </si>
  <si>
    <t xml:space="preserve">SP3382</t>
  </si>
  <si>
    <t xml:space="preserve">COLA CILIOS TUFINHO SECA EM 30 SEGUNDOS C/24PCS</t>
  </si>
  <si>
    <t xml:space="preserve">JS001</t>
  </si>
  <si>
    <t xml:space="preserve">COLA DE CILIOS TUFINHO C/24PCS</t>
  </si>
  <si>
    <t xml:space="preserve">JS002</t>
  </si>
  <si>
    <t xml:space="preserve">COLA PARA CILIOS ARDELL C/20PCS</t>
  </si>
  <si>
    <t xml:space="preserve">LB498-001</t>
  </si>
  <si>
    <t xml:space="preserve">COLA PARA CILIOS BRANCO EYE C/12PCS</t>
  </si>
  <si>
    <t xml:space="preserve">JMJS-7BX</t>
  </si>
  <si>
    <t xml:space="preserve">cola para cilios posticos transparente e a prova d agua macrilan c/12pcs</t>
  </si>
  <si>
    <t xml:space="preserve">CA-001B</t>
  </si>
  <si>
    <t xml:space="preserve">cola para cilios posticos transparente e a prova d agua macrilan c/56pcs</t>
  </si>
  <si>
    <t xml:space="preserve">CA-001</t>
  </si>
  <si>
    <t xml:space="preserve">cola para cilios preta blister macrilan c/12pcs</t>
  </si>
  <si>
    <t xml:space="preserve">CA-002B</t>
  </si>
  <si>
    <t xml:space="preserve">cola para cilios preta macrilan c/56pcs</t>
  </si>
  <si>
    <t xml:space="preserve">CA-002</t>
  </si>
  <si>
    <t xml:space="preserve">COLA PARA CILIOS PRETO EYE C/12PCS</t>
  </si>
  <si>
    <t xml:space="preserve">JMJS-7HX</t>
  </si>
  <si>
    <t xml:space="preserve">COLA PARA CILIOS TRANSPARENTE EYE C/12PCS</t>
  </si>
  <si>
    <t xml:space="preserve">JMJS-7TX</t>
  </si>
  <si>
    <t xml:space="preserve">COLA PARA UNHA C/24PCS</t>
  </si>
  <si>
    <t xml:space="preserve">793</t>
  </si>
  <si>
    <t xml:space="preserve">ESMALTE EM GEL LOVE C/6PCS</t>
  </si>
  <si>
    <t xml:space="preserve">LR2311</t>
  </si>
  <si>
    <t xml:space="preserve">ESMALTE EM GEL LOVE RAIN C/6CPS</t>
  </si>
  <si>
    <t xml:space="preserve">LR2314</t>
  </si>
  <si>
    <t xml:space="preserve">ESMALTE EM GEL LOVE RAIN C/6PCS</t>
  </si>
  <si>
    <t xml:space="preserve">LR2313</t>
  </si>
  <si>
    <t xml:space="preserve">LR2312</t>
  </si>
  <si>
    <t xml:space="preserve">ESMALTE RASGABLE LOVE RAIN C/12PCS</t>
  </si>
  <si>
    <t xml:space="preserve">LR2301</t>
  </si>
  <si>
    <t xml:space="preserve">ESMALTE RASGABLE LOVE RAIN C/24PCS</t>
  </si>
  <si>
    <t xml:space="preserve">LR2303</t>
  </si>
  <si>
    <t xml:space="preserve">UNHA MACRILAN STILETTO PRETO C/12PCS</t>
  </si>
  <si>
    <t xml:space="preserve">UP510</t>
  </si>
  <si>
    <t xml:space="preserve">UNHA POSTICAS CACAU MEDIO MACRILAN C/12PCS</t>
  </si>
  <si>
    <t xml:space="preserve">UP312A</t>
  </si>
  <si>
    <t xml:space="preserve">UNHA POSTICAS MARROM MEDIO MACRILAN C/12PCS</t>
  </si>
  <si>
    <t xml:space="preserve">UP306A</t>
  </si>
  <si>
    <t xml:space="preserve">UNHA POSTICAS NUDE CURTO MACRILAN C/12PCS</t>
  </si>
  <si>
    <t xml:space="preserve">UP205A</t>
  </si>
  <si>
    <t xml:space="preserve">UNHA POSTICAS PEROLADO CURTO MACRILAN C/12PCS</t>
  </si>
  <si>
    <t xml:space="preserve">UP203A</t>
  </si>
  <si>
    <t xml:space="preserve">UNHA POSTICAS PEROLADO MEDIO MACRILAN C/12PCS</t>
  </si>
  <si>
    <t xml:space="preserve">UP303A</t>
  </si>
  <si>
    <t xml:space="preserve">UNHA POSTICAS ROSA CLARO CURTO MACRILAN C/12PCS</t>
  </si>
  <si>
    <t xml:space="preserve">UP202A</t>
  </si>
  <si>
    <t xml:space="preserve">UNHA POSTICAS ROSA CLARO MEDIO MACRILAN C/12PCS</t>
  </si>
  <si>
    <t xml:space="preserve">UP302A</t>
  </si>
  <si>
    <t xml:space="preserve">UNHA POSTICAS ROSA CURTO MACRILAN C/12PCS</t>
  </si>
  <si>
    <t xml:space="preserve">UP201A</t>
  </si>
  <si>
    <t xml:space="preserve">UNHA POSTICAS VERMELHO CURTO MACRILAN C/12PCS</t>
  </si>
  <si>
    <t xml:space="preserve">UP207</t>
  </si>
  <si>
    <t xml:space="preserve">UNHA POSTICAS VINHO CURTO MACRILAN C/12PCS</t>
  </si>
  <si>
    <t xml:space="preserve">UP213A</t>
  </si>
  <si>
    <t xml:space="preserve">UNHA S POSTICAS PINK C/12PCS MACRILAN</t>
  </si>
  <si>
    <t xml:space="preserve">UP411</t>
  </si>
  <si>
    <t xml:space="preserve">UNHAS POSTICA CURTO FRANCESINHA C/12PCS</t>
  </si>
  <si>
    <t xml:space="preserve">UP209A</t>
  </si>
  <si>
    <t xml:space="preserve">UNHAS POSTICA MEDIO FRANCESINHA C/12PCS</t>
  </si>
  <si>
    <t xml:space="preserve">UP309A</t>
  </si>
  <si>
    <t xml:space="preserve">UNHAS POSTICA MEDIO PRETO C/12PCS</t>
  </si>
  <si>
    <t xml:space="preserve">UP315</t>
  </si>
  <si>
    <t xml:space="preserve">UNHAS POSTICA MEDIO ROSA C/12PCS</t>
  </si>
  <si>
    <t xml:space="preserve">UP301A</t>
  </si>
  <si>
    <t xml:space="preserve">UNHAS POSTICA MEDIO RUBI C/12PCS</t>
  </si>
  <si>
    <t xml:space="preserve">UP311A</t>
  </si>
  <si>
    <t xml:space="preserve">UNHAS POSTICA MEDIO VERMELHO C/12PCS</t>
  </si>
  <si>
    <t xml:space="preserve">UP307A</t>
  </si>
  <si>
    <t xml:space="preserve">UNHAS POSTICA MEDIO VERMELHO ESCURO C/12PCS</t>
  </si>
  <si>
    <t xml:space="preserve">UP308</t>
  </si>
  <si>
    <t xml:space="preserve">UNHAS POSTICA MEDIO VINHO C/12PCS</t>
  </si>
  <si>
    <t xml:space="preserve">UP313A</t>
  </si>
  <si>
    <t xml:space="preserve">unhas posticas amendoado preto c/12pcs</t>
  </si>
  <si>
    <t xml:space="preserve">UP803</t>
  </si>
  <si>
    <t xml:space="preserve">unhas posticas amendoado rubi c/12pcs</t>
  </si>
  <si>
    <t xml:space="preserve">UP802</t>
  </si>
  <si>
    <t xml:space="preserve">unhas posticas bailarina AZUL MARINHO MACRILAN C/12PCS</t>
  </si>
  <si>
    <t xml:space="preserve">UP402</t>
  </si>
  <si>
    <t xml:space="preserve">UNHAS POSTICAS BAILARINA NATURAL C/100PCS MACRILAN</t>
  </si>
  <si>
    <t xml:space="preserve">UP106</t>
  </si>
  <si>
    <t xml:space="preserve">unhas posticas bailarina nude macrilan c/12pcs</t>
  </si>
  <si>
    <t xml:space="preserve">up406</t>
  </si>
  <si>
    <t xml:space="preserve">unhas posticas bailarina rose macrilan c/12pcs</t>
  </si>
  <si>
    <t xml:space="preserve">UP407</t>
  </si>
  <si>
    <t xml:space="preserve">unhas posticas bailarina vermelho escuro</t>
  </si>
  <si>
    <t xml:space="preserve">UP401</t>
  </si>
  <si>
    <t xml:space="preserve">unhas posticas bailarina VINHO MACRILAN C/12PCS</t>
  </si>
  <si>
    <t xml:space="preserve">UP405</t>
  </si>
  <si>
    <t xml:space="preserve">unhas posticas cacau formato bailarina c/12pcs</t>
  </si>
  <si>
    <t xml:space="preserve">UP404A</t>
  </si>
  <si>
    <t xml:space="preserve">unhas posticas marrom curto c/12pcs</t>
  </si>
  <si>
    <t xml:space="preserve">UP206A</t>
  </si>
  <si>
    <t xml:space="preserve">unhas posticas medio azul marinho c/12pcs</t>
  </si>
  <si>
    <t xml:space="preserve">UP310A</t>
  </si>
  <si>
    <t xml:space="preserve">unhas posticas medio azul petroleo c/12pcs</t>
  </si>
  <si>
    <t xml:space="preserve">UP321A</t>
  </si>
  <si>
    <t xml:space="preserve">unhas posticas medio nude c/12pcs</t>
  </si>
  <si>
    <t xml:space="preserve">UP305A</t>
  </si>
  <si>
    <t xml:space="preserve">unhas posticas preto curto c/12pcs</t>
  </si>
  <si>
    <t xml:space="preserve">UP220A</t>
  </si>
  <si>
    <t xml:space="preserve">unhas posticas preto formato bailarina c/12pcs</t>
  </si>
  <si>
    <t xml:space="preserve">UP408A</t>
  </si>
  <si>
    <t xml:space="preserve">unhas posticas preto formato stiletto c/12pcs</t>
  </si>
  <si>
    <t xml:space="preserve">UP508A</t>
  </si>
  <si>
    <t xml:space="preserve">UNHAS POSTICAS QUADRADAS NATURAL C/100PCS MACRILAN</t>
  </si>
  <si>
    <t xml:space="preserve">UP104</t>
  </si>
  <si>
    <t xml:space="preserve">UNHAS POSTICAS QUADRADAS TRANSPARENTES C/100PCS MACRILAN</t>
  </si>
  <si>
    <t xml:space="preserve">UP103</t>
  </si>
  <si>
    <t xml:space="preserve">unhas posticas STILETTO AZUL MARINHO MACRILAN C/12PCS</t>
  </si>
  <si>
    <t xml:space="preserve">UP502</t>
  </si>
  <si>
    <t xml:space="preserve">unhas posticas STILETTO NUDE MACRILAN C/12PCS</t>
  </si>
  <si>
    <t xml:space="preserve">UP506</t>
  </si>
  <si>
    <t xml:space="preserve">unhas posticas STILETTO ROSE MACRILAN C/12PCS</t>
  </si>
  <si>
    <t xml:space="preserve">UP507</t>
  </si>
  <si>
    <t xml:space="preserve">unhas posticas STILETTO VERMELHO ESCURO MACRILAN C/12PCS</t>
  </si>
  <si>
    <t xml:space="preserve">UP501</t>
  </si>
  <si>
    <t xml:space="preserve">UNHAS POSTICAS VERMELHO C/12PCS</t>
  </si>
  <si>
    <t xml:space="preserve">UP412</t>
  </si>
  <si>
    <t xml:space="preserve">unhas posticas vermelho formato alongado c/12pcs</t>
  </si>
  <si>
    <t xml:space="preserve">UP409</t>
  </si>
  <si>
    <t xml:space="preserve">UP509</t>
  </si>
  <si>
    <t xml:space="preserve">unhas posticas vermrlho escuro curto c/12pcs</t>
  </si>
  <si>
    <t xml:space="preserve">UP208A</t>
  </si>
  <si>
    <t xml:space="preserve">UNHASPOSTICAS PRETO C/12</t>
  </si>
  <si>
    <t xml:space="preserve">UP410</t>
  </si>
  <si>
    <t xml:space="preserve">UNHASPOSTICAS RUBI</t>
  </si>
  <si>
    <t xml:space="preserve">UP511</t>
  </si>
  <si>
    <t xml:space="preserve">Produto (varejo)</t>
  </si>
  <si>
    <t xml:space="preserve">Preço varejo (R$)</t>
  </si>
  <si>
    <t xml:space="preserve">Onde</t>
  </si>
  <si>
    <t xml:space="preserve">Fadvan YY mix (1 bandeja)</t>
  </si>
  <si>
    <t xml:space="preserve">Mercado Livre (promo set/2026, de R$30,99)</t>
  </si>
  <si>
    <t xml:space="preserve">https://descontostop.com/promocao/extensao-de-cilios-fadvan-y-volume-brasileiro-mix-e-unitario</t>
  </si>
  <si>
    <t xml:space="preserve">Fadvan YY - kit 5 bandejas (por bandeja)</t>
  </si>
  <si>
    <t xml:space="preserve">Shopee (kit 5 por R$98,99)</t>
  </si>
  <si>
    <t xml:space="preserve">https://melhoraopreco.com.br/ofertas/shopee/7154957</t>
  </si>
  <si>
    <t xml:space="preserve">Fadvan W 5D (1 bandeja)</t>
  </si>
  <si>
    <t xml:space="preserve">Magazine Luiza</t>
  </si>
  <si>
    <t xml:space="preserve">https://www.magazineluiza.com.br/busca/cilios/</t>
  </si>
  <si>
    <t xml:space="preserve">Tufinho New Show clássico 20P</t>
  </si>
  <si>
    <t xml:space="preserve">https://m.magazineluiza.com.br/busca/kit+cilios/</t>
  </si>
  <si>
    <t xml:space="preserve">Tufinho Sabrina Sato 30P</t>
  </si>
  <si>
    <t xml:space="preserve">60 tufinhos 30P 0.07 10mm</t>
  </si>
  <si>
    <t xml:space="preserve">Kit tufinho Sabrina Sato 20P + cola + pinça + removedor</t>
  </si>
  <si>
    <t xml:space="preserve">Kit DIY Fadvan 240 tufos + cola + pinça</t>
  </si>
  <si>
    <t xml:space="preserve">Shopee (anúncio antigo)</t>
  </si>
  <si>
    <t xml:space="preserve">https://escorregaopreco.com.br/ofertas/shopee/5812317</t>
  </si>
  <si>
    <t xml:space="preserve">Esmalte em gel Dafu 10ml (unidade)</t>
  </si>
  <si>
    <t xml:space="preserve">https://m.magazineluiza.com.br/busca/esmalte+dafu/</t>
  </si>
  <si>
    <t xml:space="preserve">Esmalte em gel Dafu Glamour 12ml</t>
  </si>
  <si>
    <t xml:space="preserve">Unha postiça 24un genérica</t>
  </si>
  <si>
    <t xml:space="preserve">https://www.escorregaopreco.com.br/ofertas/shopee/6917608</t>
  </si>
  <si>
    <t xml:space="preserve">Preços de varejo são anúncios pontuais (podem estar em promoção ou desatualizados) – servem só de teto de referência.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</si>
</sst>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;\-"/>
    <numFmt numFmtId="166" formatCode="&quot;R$ &quot;#,##0.00"/>
    <numFmt numFmtId="167" formatCode="0.0\x"/>
    <numFmt numFmtId="168" formatCode="0.0%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2C83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5B2C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2C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aquiagematacado.com.br/cilios-posticos" TargetMode="External"/><Relationship Id="rId2" Type="http://schemas.openxmlformats.org/officeDocument/2006/relationships/hyperlink" Target="https://www.distribuidorajcf.com.br/cilios-posticos" TargetMode="External"/><Relationship Id="rId3" Type="http://schemas.openxmlformats.org/officeDocument/2006/relationships/hyperlink" Target="https://www.zaxapp.com.br/beleza/olhos-atacado/cilios-posticos-olhos-atacado" TargetMode="External"/><Relationship Id="rId4" Type="http://schemas.openxmlformats.org/officeDocument/2006/relationships/hyperlink" Target="https://www.zaxapp.com.br/beleza/olhos-atacado/cilios-posticos-olhos-atacado" TargetMode="External"/><Relationship Id="rId5" Type="http://schemas.openxmlformats.org/officeDocument/2006/relationships/hyperlink" Target="https://www.zaxapp.com.br/beleza/olhos-atacado/cilios-posticos-olhos-atacado" TargetMode="External"/><Relationship Id="rId6" Type="http://schemas.openxmlformats.org/officeDocument/2006/relationships/hyperlink" Target="https://www.maquiagematacado.com.br/cilios-posticos" TargetMode="External"/><Relationship Id="rId7" Type="http://schemas.openxmlformats.org/officeDocument/2006/relationships/hyperlink" Target="https://www.distribuidorajcf.com.br/cilios-posticos" TargetMode="External"/><Relationship Id="rId8" Type="http://schemas.openxmlformats.org/officeDocument/2006/relationships/hyperlink" Target="https://www.distribuidorajcf.com.br/cilios-posticos" TargetMode="External"/><Relationship Id="rId9" Type="http://schemas.openxmlformats.org/officeDocument/2006/relationships/hyperlink" Target="https://www.distribuidorajcf.com.br/cilios-posticos" TargetMode="External"/><Relationship Id="rId10" Type="http://schemas.openxmlformats.org/officeDocument/2006/relationships/hyperlink" Target="https://www.maquiagematacado.com.br/cilios-posticos" TargetMode="External"/><Relationship Id="rId11" Type="http://schemas.openxmlformats.org/officeDocument/2006/relationships/hyperlink" Target="https://mercadocilios.com.br/" TargetMode="External"/><Relationship Id="rId12" Type="http://schemas.openxmlformats.org/officeDocument/2006/relationships/hyperlink" Target="https://mercadocilios.com.br/" TargetMode="External"/><Relationship Id="rId13" Type="http://schemas.openxmlformats.org/officeDocument/2006/relationships/hyperlink" Target="https://mercadocilios.com.br/" TargetMode="External"/><Relationship Id="rId14" Type="http://schemas.openxmlformats.org/officeDocument/2006/relationships/hyperlink" Target="https://www.maquiagematacado.com.br/cilios-posticos" TargetMode="External"/><Relationship Id="rId15" Type="http://schemas.openxmlformats.org/officeDocument/2006/relationships/hyperlink" Target="https://www.distribuidorajcf.com.br/cilios-posticos" TargetMode="External"/><Relationship Id="rId16" Type="http://schemas.openxmlformats.org/officeDocument/2006/relationships/hyperlink" Target="https://www.distribuidorajcf.com.br/cilios-posticos" TargetMode="External"/><Relationship Id="rId17" Type="http://schemas.openxmlformats.org/officeDocument/2006/relationships/hyperlink" Target="https://www.zaxapp.com.br/beleza/unhas-atacado" TargetMode="External"/><Relationship Id="rId18" Type="http://schemas.openxmlformats.org/officeDocument/2006/relationships/hyperlink" Target="https://www.zaxapp.com.br/beleza/unhas-atacado" TargetMode="External"/><Relationship Id="rId19" Type="http://schemas.openxmlformats.org/officeDocument/2006/relationships/hyperlink" Target="https://www.zaxapp.com.br/beleza/unhas-atacado" TargetMode="External"/><Relationship Id="rId20" Type="http://schemas.openxmlformats.org/officeDocument/2006/relationships/hyperlink" Target="https://www.distribuidorajcf.com.br/maos-pes" TargetMode="External"/><Relationship Id="rId21" Type="http://schemas.openxmlformats.org/officeDocument/2006/relationships/hyperlink" Target="https://www.distribuidorajcf.com.br/maos-pes" TargetMode="External"/><Relationship Id="rId22" Type="http://schemas.openxmlformats.org/officeDocument/2006/relationships/hyperlink" Target="https://www.zaxapp.com.br/beleza/unhas-atacado" TargetMode="External"/><Relationship Id="rId23" Type="http://schemas.openxmlformats.org/officeDocument/2006/relationships/hyperlink" Target="https://www.zaxapp.com.br/beleza/unhas-atacado" TargetMode="External"/><Relationship Id="rId24" Type="http://schemas.openxmlformats.org/officeDocument/2006/relationships/hyperlink" Target="https://www.alibaba.com/trade/search?SearchText=yy+lashes+extension+tray" TargetMode="External"/><Relationship Id="rId25" Type="http://schemas.openxmlformats.org/officeDocument/2006/relationships/hyperlink" Target="https://www.alibaba.com/trade/search?SearchText=yy+lashes+extension+tray" TargetMode="External"/><Relationship Id="rId26" Type="http://schemas.openxmlformats.org/officeDocument/2006/relationships/hyperlink" Target="https://www.alibaba.com/trade/search?SearchText=yy+lashes+extension+tray" TargetMode="External"/><Relationship Id="rId27" Type="http://schemas.openxmlformats.org/officeDocument/2006/relationships/hyperlink" Target="https://www.alibaba.com/trade/search?SearchText=diy+cluster+lashes+box+wholesale" TargetMode="External"/><Relationship Id="rId28" Type="http://schemas.openxmlformats.org/officeDocument/2006/relationships/hyperlink" Target="https://www.alibaba.com/trade/search?SearchText=diy+cluster+lashes+box+wholesale" TargetMode="External"/><Relationship Id="rId29" Type="http://schemas.openxmlformats.org/officeDocument/2006/relationships/hyperlink" Target="https://www.alibaba.com/trade/search?SearchText=press+on+nails+24pcs+box+wholesale" TargetMode="External"/><Relationship Id="rId30" Type="http://schemas.openxmlformats.org/officeDocument/2006/relationships/hyperlink" Target="https://www.alibaba.com/trade/search?SearchText=press+on+nails+24pcs+box+wholesale" TargetMode="External"/><Relationship Id="rId31" Type="http://schemas.openxmlformats.org/officeDocument/2006/relationships/hyperlink" Target="https://www.alibaba.com/trade/search?SearchText=press+on+nails+24pcs+box+wholesale" TargetMode="External"/><Relationship Id="rId32" Type="http://schemas.openxmlformats.org/officeDocument/2006/relationships/hyperlink" Target="https://www.alibaba.com/trade/search?SearchText=uv+gel+nail+polish+15ml+wholesale" TargetMode="External"/><Relationship Id="rId33" Type="http://schemas.openxmlformats.org/officeDocument/2006/relationships/hyperlink" Target="https://www.alibaba.com/trade/search?SearchText=uv+gel+nail+polish+15ml+wholesale" TargetMode="External"/><Relationship Id="rId34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8" min="3" style="0" width="14"/>
    <col collapsed="false" customWidth="true" hidden="false" outlineLevel="0" max="9" min="9" style="0" width="70"/>
    <col collapsed="false" customWidth="true" hidden="false" outlineLevel="0" max="11" min="10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6.85" hidden="false" customHeight="false" outlineLevel="0" collapsed="false">
      <c r="A2" s="2" t="s">
        <v>11</v>
      </c>
      <c r="B2" s="2" t="s">
        <v>12</v>
      </c>
      <c r="C2" s="3" t="n">
        <f aca="false">IFERROR(_xlfn.MINIFS(Dafu!$H:$H,Dafu!$A:$A,A2,Dafu!$B:$B,B2),"")</f>
        <v>11</v>
      </c>
      <c r="D2" s="3" t="n">
        <f aca="false">IFERROR(_xlfn.MAXIFS(Dafu!$H:$H,Dafu!$A:$A,A2,Dafu!$B:$B,B2),"")</f>
        <v>22</v>
      </c>
      <c r="E2" s="3" t="n">
        <f aca="false">IFERROR(_xlfn.MINIFS(Zhang!$E:$E,Zhang!$A:$A,A2,Zhang!$B:$B,B2),"")</f>
        <v>0</v>
      </c>
      <c r="F2" s="3" t="n">
        <f aca="false">IFERROR(_xlfn.MAXIFS(Zhang!$E:$E,Zhang!$A:$A,A2,Zhang!$B:$B,B2),"")</f>
        <v>0</v>
      </c>
      <c r="G2" s="3" t="n">
        <f aca="false">IFERROR(_xlfn.MINIFS(Referencia!$D:$D,Referencia!$A:$A,A2,Referencia!$B:$B,B2),"")</f>
        <v>19.8</v>
      </c>
      <c r="H2" s="2" t="str">
        <f aca="false">IF(AND(N(C2)=0,N(E2)=0),"-",IF(N(E2)=0,"Dafu",IF(N(C2)=0,"Zhang",IF(C2&lt;=E2,"Dafu","Zhang"))))</f>
        <v>Dafu</v>
      </c>
      <c r="I2" s="4" t="s">
        <v>13</v>
      </c>
      <c r="J2" s="3" t="n">
        <f aca="false">IFERROR(_xlfn.MINIFS('Outros fornecedores'!$J:$J,'Outros fornecedores'!$A:$A,"Brasil",'Outros fornecedores'!$B:$B,A2,'Outros fornecedores'!$C:$C,B2),"")</f>
        <v>20.55</v>
      </c>
      <c r="K2" s="3" t="n">
        <f aca="false">IFERROR(_xlfn.MINIFS('Outros fornecedores'!$J:$J,'Outros fornecedores'!$A:$A,"China",'Outros fornecedores'!$B:$B,A2,'Outros fornecedores'!$C:$C,B2),"")</f>
        <v>9.994</v>
      </c>
    </row>
    <row r="3" customFormat="false" ht="52.2" hidden="false" customHeight="false" outlineLevel="0" collapsed="false">
      <c r="A3" s="2" t="s">
        <v>11</v>
      </c>
      <c r="B3" s="2" t="s">
        <v>14</v>
      </c>
      <c r="C3" s="3" t="n">
        <f aca="false">IFERROR(_xlfn.MINIFS(Dafu!$H:$H,Dafu!$A:$A,A3,Dafu!$B:$B,B3),"")</f>
        <v>1</v>
      </c>
      <c r="D3" s="3" t="n">
        <f aca="false">IFERROR(_xlfn.MAXIFS(Dafu!$H:$H,Dafu!$A:$A,A3,Dafu!$B:$B,B3),"")</f>
        <v>15</v>
      </c>
      <c r="E3" s="3" t="n">
        <f aca="false">IFERROR(_xlfn.MINIFS(Zhang!$E:$E,Zhang!$A:$A,A3,Zhang!$B:$B,B3),"")</f>
        <v>3.7</v>
      </c>
      <c r="F3" s="3" t="n">
        <f aca="false">IFERROR(_xlfn.MAXIFS(Zhang!$E:$E,Zhang!$A:$A,A3,Zhang!$B:$B,B3),"")</f>
        <v>9</v>
      </c>
      <c r="G3" s="3" t="n">
        <f aca="false">IFERROR(_xlfn.MINIFS(Referencia!$D:$D,Referencia!$A:$A,A3,Referencia!$B:$B,B3),"")</f>
        <v>15.68</v>
      </c>
      <c r="H3" s="2" t="str">
        <f aca="false">IF(AND(N(C3)=0,N(E3)=0),"-",IF(N(E3)=0,"Dafu",IF(N(C3)=0,"Zhang",IF(C3&lt;=E3,"Dafu","Zhang"))))</f>
        <v>Dafu</v>
      </c>
      <c r="I3" s="4" t="s">
        <v>15</v>
      </c>
      <c r="J3" s="3" t="n">
        <f aca="false">IFERROR(_xlfn.MINIFS('Outros fornecedores'!$J:$J,'Outros fornecedores'!$A:$A,"Brasil",'Outros fornecedores'!$B:$B,A3,'Outros fornecedores'!$C:$C,B3),"")</f>
        <v>2.19</v>
      </c>
      <c r="K3" s="3" t="n">
        <f aca="false">IFERROR(_xlfn.MINIFS('Outros fornecedores'!$J:$J,'Outros fornecedores'!$A:$A,"China",'Outros fornecedores'!$B:$B,A3,'Outros fornecedores'!$C:$C,B3),"")</f>
        <v>9.69</v>
      </c>
    </row>
    <row r="4" customFormat="false" ht="26.85" hidden="false" customHeight="false" outlineLevel="0" collapsed="false">
      <c r="A4" s="2" t="s">
        <v>11</v>
      </c>
      <c r="B4" s="2" t="s">
        <v>16</v>
      </c>
      <c r="C4" s="3" t="n">
        <f aca="false">IFERROR(_xlfn.MINIFS(Dafu!$H:$H,Dafu!$A:$A,A4,Dafu!$B:$B,B4),"")</f>
        <v>0</v>
      </c>
      <c r="D4" s="3" t="n">
        <f aca="false">IFERROR(_xlfn.MAXIFS(Dafu!$H:$H,Dafu!$A:$A,A4,Dafu!$B:$B,B4),"")</f>
        <v>0</v>
      </c>
      <c r="E4" s="3" t="n">
        <f aca="false">IFERROR(_xlfn.MINIFS(Zhang!$E:$E,Zhang!$A:$A,A4,Zhang!$B:$B,B4),"")</f>
        <v>12</v>
      </c>
      <c r="F4" s="3" t="n">
        <f aca="false">IFERROR(_xlfn.MAXIFS(Zhang!$E:$E,Zhang!$A:$A,A4,Zhang!$B:$B,B4),"")</f>
        <v>16.5</v>
      </c>
      <c r="G4" s="3" t="n">
        <f aca="false">IFERROR(_xlfn.MINIFS(Referencia!$D:$D,Referencia!$A:$A,A4,Referencia!$B:$B,B4),"")</f>
        <v>0</v>
      </c>
      <c r="H4" s="2" t="str">
        <f aca="false">IF(AND(N(C4)=0,N(E4)=0),"-",IF(N(E4)=0,"Dafu",IF(N(C4)=0,"Zhang",IF(C4&lt;=E4,"Dafu","Zhang"))))</f>
        <v>Zhang</v>
      </c>
      <c r="I4" s="4" t="s">
        <v>17</v>
      </c>
      <c r="J4" s="3" t="n">
        <f aca="false">IFERROR(_xlfn.MINIFS('Outros fornecedores'!$J:$J,'Outros fornecedores'!$A:$A,"Brasil",'Outros fornecedores'!$B:$B,A4,'Outros fornecedores'!$C:$C,B4),"")</f>
        <v>0</v>
      </c>
      <c r="K4" s="3" t="n">
        <f aca="false">IFERROR(_xlfn.MINIFS('Outros fornecedores'!$J:$J,'Outros fornecedores'!$A:$A,"China",'Outros fornecedores'!$B:$B,A4,'Outros fornecedores'!$C:$C,B4),"")</f>
        <v>0</v>
      </c>
    </row>
    <row r="5" customFormat="false" ht="15" hidden="false" customHeight="false" outlineLevel="0" collapsed="false">
      <c r="A5" s="2" t="s">
        <v>11</v>
      </c>
      <c r="B5" s="2" t="s">
        <v>18</v>
      </c>
      <c r="C5" s="3" t="n">
        <f aca="false">IFERROR(_xlfn.MINIFS(Dafu!$H:$H,Dafu!$A:$A,A5,Dafu!$B:$B,B5),"")</f>
        <v>19.8</v>
      </c>
      <c r="D5" s="3" t="n">
        <f aca="false">IFERROR(_xlfn.MAXIFS(Dafu!$H:$H,Dafu!$A:$A,A5,Dafu!$B:$B,B5),"")</f>
        <v>20</v>
      </c>
      <c r="E5" s="3" t="n">
        <f aca="false">IFERROR(_xlfn.MINIFS(Zhang!$E:$E,Zhang!$A:$A,A5,Zhang!$B:$B,B5),"")</f>
        <v>0</v>
      </c>
      <c r="F5" s="3" t="n">
        <f aca="false">IFERROR(_xlfn.MAXIFS(Zhang!$E:$E,Zhang!$A:$A,A5,Zhang!$B:$B,B5),"")</f>
        <v>0</v>
      </c>
      <c r="G5" s="3" t="n">
        <f aca="false">IFERROR(_xlfn.MINIFS(Referencia!$D:$D,Referencia!$A:$A,A5,Referencia!$B:$B,B5),"")</f>
        <v>29.99</v>
      </c>
      <c r="H5" s="2" t="str">
        <f aca="false">IF(AND(N(C5)=0,N(E5)=0),"-",IF(N(E5)=0,"Dafu",IF(N(C5)=0,"Zhang",IF(C5&lt;=E5,"Dafu","Zhang"))))</f>
        <v>Dafu</v>
      </c>
      <c r="I5" s="4" t="s">
        <v>19</v>
      </c>
      <c r="J5" s="3" t="n">
        <f aca="false">IFERROR(_xlfn.MINIFS('Outros fornecedores'!$J:$J,'Outros fornecedores'!$A:$A,"Brasil",'Outros fornecedores'!$B:$B,A5,'Outros fornecedores'!$C:$C,B5),"")</f>
        <v>16.6658333333333</v>
      </c>
      <c r="K5" s="3" t="n">
        <f aca="false">IFERROR(_xlfn.MINIFS('Outros fornecedores'!$J:$J,'Outros fornecedores'!$A:$A,"China",'Outros fornecedores'!$B:$B,A5,'Outros fornecedores'!$C:$C,B5),"")</f>
        <v>0</v>
      </c>
    </row>
    <row r="6" customFormat="false" ht="26.85" hidden="false" customHeight="false" outlineLevel="0" collapsed="false">
      <c r="A6" s="2" t="s">
        <v>11</v>
      </c>
      <c r="B6" s="2" t="s">
        <v>20</v>
      </c>
      <c r="C6" s="3" t="n">
        <f aca="false">IFERROR(_xlfn.MINIFS(Dafu!$H:$H,Dafu!$A:$A,A6,Dafu!$B:$B,B6),"")</f>
        <v>5</v>
      </c>
      <c r="D6" s="3" t="n">
        <f aca="false">IFERROR(_xlfn.MAXIFS(Dafu!$H:$H,Dafu!$A:$A,A6,Dafu!$B:$B,B6),"")</f>
        <v>7.5</v>
      </c>
      <c r="E6" s="3" t="n">
        <f aca="false">IFERROR(_xlfn.MINIFS(Zhang!$E:$E,Zhang!$A:$A,A6,Zhang!$B:$B,B6),"")</f>
        <v>3</v>
      </c>
      <c r="F6" s="3" t="n">
        <f aca="false">IFERROR(_xlfn.MAXIFS(Zhang!$E:$E,Zhang!$A:$A,A6,Zhang!$B:$B,B6),"")</f>
        <v>9</v>
      </c>
      <c r="G6" s="3" t="n">
        <f aca="false">IFERROR(_xlfn.MINIFS(Referencia!$D:$D,Referencia!$A:$A,A6,Referencia!$B:$B,B6),"")</f>
        <v>0</v>
      </c>
      <c r="H6" s="2" t="str">
        <f aca="false">IF(AND(N(C6)=0,N(E6)=0),"-",IF(N(E6)=0,"Dafu",IF(N(C6)=0,"Zhang",IF(C6&lt;=E6,"Dafu","Zhang"))))</f>
        <v>Zhang</v>
      </c>
      <c r="I6" s="4" t="s">
        <v>21</v>
      </c>
      <c r="J6" s="3" t="n">
        <f aca="false">IFERROR(_xlfn.MINIFS('Outros fornecedores'!$J:$J,'Outros fornecedores'!$A:$A,"Brasil",'Outros fornecedores'!$B:$B,A6,'Outros fornecedores'!$C:$C,B6),"")</f>
        <v>1.5</v>
      </c>
      <c r="K6" s="3" t="n">
        <f aca="false">IFERROR(_xlfn.MINIFS('Outros fornecedores'!$J:$J,'Outros fornecedores'!$A:$A,"China",'Outros fornecedores'!$B:$B,A6,'Outros fornecedores'!$C:$C,B6),"")</f>
        <v>0</v>
      </c>
    </row>
    <row r="7" customFormat="false" ht="39.55" hidden="false" customHeight="false" outlineLevel="0" collapsed="false">
      <c r="A7" s="2" t="s">
        <v>11</v>
      </c>
      <c r="B7" s="2" t="s">
        <v>22</v>
      </c>
      <c r="C7" s="3" t="n">
        <f aca="false">IFERROR(_xlfn.MINIFS(Dafu!$H:$H,Dafu!$A:$A,A7,Dafu!$B:$B,B7),"")</f>
        <v>4.5</v>
      </c>
      <c r="D7" s="3" t="n">
        <f aca="false">IFERROR(_xlfn.MAXIFS(Dafu!$H:$H,Dafu!$A:$A,A7,Dafu!$B:$B,B7),"")</f>
        <v>10</v>
      </c>
      <c r="E7" s="3" t="n">
        <f aca="false">IFERROR(_xlfn.MINIFS(Zhang!$E:$E,Zhang!$A:$A,A7,Zhang!$B:$B,B7),"")</f>
        <v>1.66</v>
      </c>
      <c r="F7" s="3" t="n">
        <f aca="false">IFERROR(_xlfn.MAXIFS(Zhang!$E:$E,Zhang!$A:$A,A7,Zhang!$B:$B,B7),"")</f>
        <v>8</v>
      </c>
      <c r="G7" s="3" t="n">
        <f aca="false">IFERROR(_xlfn.MINIFS(Referencia!$D:$D,Referencia!$A:$A,A7,Referencia!$B:$B,B7),"")</f>
        <v>0</v>
      </c>
      <c r="H7" s="2" t="str">
        <f aca="false">IF(AND(N(C7)=0,N(E7)=0),"-",IF(N(E7)=0,"Dafu",IF(N(C7)=0,"Zhang",IF(C7&lt;=E7,"Dafu","Zhang"))))</f>
        <v>Zhang</v>
      </c>
      <c r="I7" s="4" t="s">
        <v>23</v>
      </c>
      <c r="J7" s="3" t="n">
        <f aca="false">IFERROR(_xlfn.MINIFS('Outros fornecedores'!$J:$J,'Outros fornecedores'!$A:$A,"Brasil",'Outros fornecedores'!$B:$B,A7,'Outros fornecedores'!$C:$C,B7),"")</f>
        <v>1.54166666666667</v>
      </c>
      <c r="K7" s="3" t="n">
        <f aca="false">IFERROR(_xlfn.MINIFS('Outros fornecedores'!$J:$J,'Outros fornecedores'!$A:$A,"China",'Outros fornecedores'!$B:$B,A7,'Outros fornecedores'!$C:$C,B7),"")</f>
        <v>0</v>
      </c>
    </row>
    <row r="8" customFormat="false" ht="39.55" hidden="false" customHeight="false" outlineLevel="0" collapsed="false">
      <c r="A8" s="2" t="s">
        <v>24</v>
      </c>
      <c r="B8" s="2" t="s">
        <v>25</v>
      </c>
      <c r="C8" s="3" t="n">
        <f aca="false">IFERROR(_xlfn.MINIFS(Dafu!$H:$H,Dafu!$A:$A,A8,Dafu!$B:$B,B8),"")</f>
        <v>1.83</v>
      </c>
      <c r="D8" s="3" t="n">
        <f aca="false">IFERROR(_xlfn.MAXIFS(Dafu!$H:$H,Dafu!$A:$A,A8,Dafu!$B:$B,B8),"")</f>
        <v>18</v>
      </c>
      <c r="E8" s="3" t="n">
        <f aca="false">IFERROR(_xlfn.MINIFS(Zhang!$E:$E,Zhang!$A:$A,A8,Zhang!$B:$B,B8),"")</f>
        <v>6.25</v>
      </c>
      <c r="F8" s="3" t="n">
        <f aca="false">IFERROR(_xlfn.MAXIFS(Zhang!$E:$E,Zhang!$A:$A,A8,Zhang!$B:$B,B8),"")</f>
        <v>9</v>
      </c>
      <c r="G8" s="3" t="n">
        <f aca="false">IFERROR(_xlfn.MINIFS(Referencia!$D:$D,Referencia!$A:$A,A8,Referencia!$B:$B,B8),"")</f>
        <v>4.89</v>
      </c>
      <c r="H8" s="2" t="str">
        <f aca="false">IF(AND(N(C8)=0,N(E8)=0),"-",IF(N(E8)=0,"Dafu",IF(N(C8)=0,"Zhang",IF(C8&lt;=E8,"Dafu","Zhang"))))</f>
        <v>Dafu</v>
      </c>
      <c r="I8" s="4" t="s">
        <v>26</v>
      </c>
      <c r="J8" s="3" t="n">
        <f aca="false">IFERROR(_xlfn.MINIFS('Outros fornecedores'!$J:$J,'Outros fornecedores'!$A:$A,"Brasil",'Outros fornecedores'!$B:$B,A8,'Outros fornecedores'!$C:$C,B8),"")</f>
        <v>0.370833333333333</v>
      </c>
      <c r="K8" s="3" t="n">
        <f aca="false">IFERROR(_xlfn.MINIFS('Outros fornecedores'!$J:$J,'Outros fornecedores'!$A:$A,"China",'Outros fornecedores'!$B:$B,A8,'Outros fornecedores'!$C:$C,B8),"")</f>
        <v>4.408</v>
      </c>
    </row>
    <row r="9" customFormat="false" ht="26.85" hidden="false" customHeight="false" outlineLevel="0" collapsed="false">
      <c r="A9" s="2" t="s">
        <v>24</v>
      </c>
      <c r="B9" s="2" t="s">
        <v>27</v>
      </c>
      <c r="C9" s="3" t="n">
        <f aca="false">IFERROR(_xlfn.MINIFS(Dafu!$H:$H,Dafu!$A:$A,A9,Dafu!$B:$B,B9),"")</f>
        <v>3</v>
      </c>
      <c r="D9" s="3" t="n">
        <f aca="false">IFERROR(_xlfn.MAXIFS(Dafu!$H:$H,Dafu!$A:$A,A9,Dafu!$B:$B,B9),"")</f>
        <v>7.5</v>
      </c>
      <c r="E9" s="3" t="n">
        <f aca="false">IFERROR(_xlfn.MINIFS(Zhang!$E:$E,Zhang!$A:$A,A9,Zhang!$B:$B,B9),"")</f>
        <v>1.5</v>
      </c>
      <c r="F9" s="3" t="n">
        <f aca="false">IFERROR(_xlfn.MAXIFS(Zhang!$E:$E,Zhang!$A:$A,A9,Zhang!$B:$B,B9),"")</f>
        <v>1.75</v>
      </c>
      <c r="G9" s="3" t="n">
        <f aca="false">IFERROR(_xlfn.MINIFS(Referencia!$D:$D,Referencia!$A:$A,A9,Referencia!$B:$B,B9),"")</f>
        <v>0</v>
      </c>
      <c r="H9" s="2" t="str">
        <f aca="false">IF(AND(N(C9)=0,N(E9)=0),"-",IF(N(E9)=0,"Dafu",IF(N(C9)=0,"Zhang",IF(C9&lt;=E9,"Dafu","Zhang"))))</f>
        <v>Zhang</v>
      </c>
      <c r="I9" s="4" t="s">
        <v>28</v>
      </c>
      <c r="J9" s="3" t="n">
        <f aca="false">IFERROR(_xlfn.MINIFS('Outros fornecedores'!$J:$J,'Outros fornecedores'!$A:$A,"Brasil",'Outros fornecedores'!$B:$B,A9,'Outros fornecedores'!$C:$C,B9),"")</f>
        <v>0</v>
      </c>
      <c r="K9" s="3" t="n">
        <f aca="false">IFERROR(_xlfn.MINIFS('Outros fornecedores'!$J:$J,'Outros fornecedores'!$A:$A,"China",'Outros fornecedores'!$B:$B,A9,'Outros fornecedores'!$C:$C,B9),"")</f>
        <v>0</v>
      </c>
    </row>
    <row r="10" customFormat="false" ht="26.85" hidden="false" customHeight="false" outlineLevel="0" collapsed="false">
      <c r="A10" s="2" t="s">
        <v>24</v>
      </c>
      <c r="B10" s="2" t="s">
        <v>29</v>
      </c>
      <c r="C10" s="3" t="n">
        <f aca="false">IFERROR(_xlfn.MINIFS(Dafu!$H:$H,Dafu!$A:$A,A10,Dafu!$B:$B,B10),"")</f>
        <v>8</v>
      </c>
      <c r="D10" s="3" t="n">
        <f aca="false">IFERROR(_xlfn.MAXIFS(Dafu!$H:$H,Dafu!$A:$A,A10,Dafu!$B:$B,B10),"")</f>
        <v>11</v>
      </c>
      <c r="E10" s="3" t="n">
        <f aca="false">IFERROR(_xlfn.MINIFS(Zhang!$E:$E,Zhang!$A:$A,A10,Zhang!$B:$B,B10),"")</f>
        <v>5.5</v>
      </c>
      <c r="F10" s="3" t="n">
        <f aca="false">IFERROR(_xlfn.MAXIFS(Zhang!$E:$E,Zhang!$A:$A,A10,Zhang!$B:$B,B10),"")</f>
        <v>7.83</v>
      </c>
      <c r="G10" s="3" t="n">
        <f aca="false">IFERROR(_xlfn.MINIFS(Referencia!$D:$D,Referencia!$A:$A,A10,Referencia!$B:$B,B10),"")</f>
        <v>18.99</v>
      </c>
      <c r="H10" s="2" t="str">
        <f aca="false">IF(AND(N(C10)=0,N(E10)=0),"-",IF(N(E10)=0,"Dafu",IF(N(C10)=0,"Zhang",IF(C10&lt;=E10,"Dafu","Zhang"))))</f>
        <v>Zhang</v>
      </c>
      <c r="I10" s="4" t="s">
        <v>30</v>
      </c>
      <c r="J10" s="3" t="n">
        <f aca="false">IFERROR(_xlfn.MINIFS('Outros fornecedores'!$J:$J,'Outros fornecedores'!$A:$A,"Brasil",'Outros fornecedores'!$B:$B,A10,'Outros fornecedores'!$C:$C,B10),"")</f>
        <v>5</v>
      </c>
      <c r="K10" s="3" t="n">
        <f aca="false">IFERROR(_xlfn.MINIFS('Outros fornecedores'!$J:$J,'Outros fornecedores'!$A:$A,"China",'Outros fornecedores'!$B:$B,A10,'Outros fornecedores'!$C:$C,B10),"")</f>
        <v>5.871</v>
      </c>
    </row>
    <row r="11" customFormat="false" ht="26.85" hidden="false" customHeight="false" outlineLevel="0" collapsed="false">
      <c r="A11" s="2" t="s">
        <v>24</v>
      </c>
      <c r="B11" s="2" t="s">
        <v>22</v>
      </c>
      <c r="C11" s="3" t="n">
        <f aca="false">IFERROR(_xlfn.MINIFS(Dafu!$H:$H,Dafu!$A:$A,A11,Dafu!$B:$B,B11),"")</f>
        <v>2.25</v>
      </c>
      <c r="D11" s="3" t="n">
        <f aca="false">IFERROR(_xlfn.MAXIFS(Dafu!$H:$H,Dafu!$A:$A,A11,Dafu!$B:$B,B11),"")</f>
        <v>2.25</v>
      </c>
      <c r="E11" s="3" t="n">
        <f aca="false">IFERROR(_xlfn.MINIFS(Zhang!$E:$E,Zhang!$A:$A,A11,Zhang!$B:$B,B11),"")</f>
        <v>4</v>
      </c>
      <c r="F11" s="3" t="n">
        <f aca="false">IFERROR(_xlfn.MAXIFS(Zhang!$E:$E,Zhang!$A:$A,A11,Zhang!$B:$B,B11),"")</f>
        <v>4</v>
      </c>
      <c r="G11" s="3" t="n">
        <f aca="false">IFERROR(_xlfn.MINIFS(Referencia!$D:$D,Referencia!$A:$A,A11,Referencia!$B:$B,B11),"")</f>
        <v>0</v>
      </c>
      <c r="H11" s="2" t="str">
        <f aca="false">IF(AND(N(C11)=0,N(E11)=0),"-",IF(N(E11)=0,"Dafu",IF(N(C11)=0,"Zhang",IF(C11&lt;=E11,"Dafu","Zhang"))))</f>
        <v>Dafu</v>
      </c>
      <c r="I11" s="4" t="s">
        <v>31</v>
      </c>
      <c r="J11" s="3" t="n">
        <f aca="false">IFERROR(_xlfn.MINIFS('Outros fornecedores'!$J:$J,'Outros fornecedores'!$A:$A,"Brasil",'Outros fornecedores'!$B:$B,A11,'Outros fornecedores'!$C:$C,B11),"")</f>
        <v>0.9995</v>
      </c>
      <c r="K11" s="3" t="n">
        <f aca="false">IFERROR(_xlfn.MINIFS('Outros fornecedores'!$J:$J,'Outros fornecedores'!$A:$A,"China",'Outros fornecedores'!$B:$B,A11,'Outros fornecedores'!$C:$C,B11),"")</f>
        <v>0</v>
      </c>
    </row>
    <row r="12" customFormat="false" ht="26.85" hidden="false" customHeight="false" outlineLevel="0" collapsed="false">
      <c r="A12" s="2" t="s">
        <v>24</v>
      </c>
      <c r="B12" s="2" t="s">
        <v>32</v>
      </c>
      <c r="C12" s="3" t="n">
        <f aca="false">IFERROR(_xlfn.MINIFS(Dafu!$H:$H,Dafu!$A:$A,A12,Dafu!$B:$B,B12),"")</f>
        <v>4</v>
      </c>
      <c r="D12" s="3" t="n">
        <f aca="false">IFERROR(_xlfn.MAXIFS(Dafu!$H:$H,Dafu!$A:$A,A12,Dafu!$B:$B,B12),"")</f>
        <v>11</v>
      </c>
      <c r="E12" s="3" t="n">
        <f aca="false">IFERROR(_xlfn.MINIFS(Zhang!$E:$E,Zhang!$A:$A,A12,Zhang!$B:$B,B12),"")</f>
        <v>0</v>
      </c>
      <c r="F12" s="3" t="n">
        <f aca="false">IFERROR(_xlfn.MAXIFS(Zhang!$E:$E,Zhang!$A:$A,A12,Zhang!$B:$B,B12),"")</f>
        <v>0</v>
      </c>
      <c r="G12" s="3" t="n">
        <f aca="false">IFERROR(_xlfn.MINIFS(Referencia!$D:$D,Referencia!$A:$A,A12,Referencia!$B:$B,B12),"")</f>
        <v>0</v>
      </c>
      <c r="H12" s="2" t="str">
        <f aca="false">IF(AND(N(C12)=0,N(E12)=0),"-",IF(N(E12)=0,"Dafu",IF(N(C12)=0,"Zhang",IF(C12&lt;=E12,"Dafu","Zhang"))))</f>
        <v>Dafu</v>
      </c>
      <c r="I12" s="4" t="s">
        <v>33</v>
      </c>
      <c r="J12" s="3" t="n">
        <f aca="false">IFERROR(_xlfn.MINIFS('Outros fornecedores'!$J:$J,'Outros fornecedores'!$A:$A,"Brasil",'Outros fornecedores'!$B:$B,A12,'Outros fornecedores'!$C:$C,B12),"")</f>
        <v>5</v>
      </c>
      <c r="K12" s="3" t="n">
        <f aca="false">IFERROR(_xlfn.MINIFS('Outros fornecedores'!$J:$J,'Outros fornecedores'!$A:$A,"China",'Outros fornecedores'!$B:$B,A12,'Outros fornecedores'!$C:$C,B12),"")</f>
        <v>0</v>
      </c>
    </row>
    <row r="13" customFormat="false" ht="26.85" hidden="false" customHeight="false" outlineLevel="0" collapsed="false">
      <c r="A13" s="2" t="s">
        <v>24</v>
      </c>
      <c r="B13" s="2" t="s">
        <v>34</v>
      </c>
      <c r="C13" s="3" t="n">
        <f aca="false">IFERROR(_xlfn.MINIFS(Dafu!$H:$H,Dafu!$A:$A,A13,Dafu!$B:$B,B13),"")</f>
        <v>5.5</v>
      </c>
      <c r="D13" s="3" t="n">
        <f aca="false">IFERROR(_xlfn.MAXIFS(Dafu!$H:$H,Dafu!$A:$A,A13,Dafu!$B:$B,B13),"")</f>
        <v>12</v>
      </c>
      <c r="E13" s="3" t="n">
        <f aca="false">IFERROR(_xlfn.MINIFS(Zhang!$E:$E,Zhang!$A:$A,A13,Zhang!$B:$B,B13),"")</f>
        <v>0</v>
      </c>
      <c r="F13" s="3" t="n">
        <f aca="false">IFERROR(_xlfn.MAXIFS(Zhang!$E:$E,Zhang!$A:$A,A13,Zhang!$B:$B,B13),"")</f>
        <v>0</v>
      </c>
      <c r="G13" s="3" t="n">
        <f aca="false">IFERROR(_xlfn.MINIFS(Referencia!$D:$D,Referencia!$A:$A,A13,Referencia!$B:$B,B13),"")</f>
        <v>0</v>
      </c>
      <c r="H13" s="2" t="str">
        <f aca="false">IF(AND(N(C13)=0,N(E13)=0),"-",IF(N(E13)=0,"Dafu",IF(N(C13)=0,"Zhang",IF(C13&lt;=E13,"Dafu","Zhang"))))</f>
        <v>Dafu</v>
      </c>
      <c r="I13" s="4" t="s">
        <v>35</v>
      </c>
      <c r="J13" s="3" t="n">
        <f aca="false">IFERROR(_xlfn.MINIFS('Outros fornecedores'!$J:$J,'Outros fornecedores'!$A:$A,"Brasil",'Outros fornecedores'!$B:$B,A13,'Outros fornecedores'!$C:$C,B13),"")</f>
        <v>4</v>
      </c>
      <c r="K13" s="3" t="n">
        <f aca="false">IFERROR(_xlfn.MINIFS('Outros fornecedores'!$J:$J,'Outros fornecedores'!$A:$A,"China",'Outros fornecedores'!$B:$B,A13,'Outros fornecedores'!$C:$C,B13),"")</f>
        <v>0</v>
      </c>
    </row>
    <row r="14" customFormat="false" ht="15" hidden="false" customHeight="false" outlineLevel="0" collapsed="false">
      <c r="A14" s="2" t="s">
        <v>24</v>
      </c>
      <c r="B14" s="2" t="s">
        <v>36</v>
      </c>
      <c r="C14" s="3" t="n">
        <f aca="false">IFERROR(_xlfn.MINIFS(Dafu!$H:$H,Dafu!$A:$A,A14,Dafu!$B:$B,B14),"")</f>
        <v>2</v>
      </c>
      <c r="D14" s="3" t="n">
        <f aca="false">IFERROR(_xlfn.MAXIFS(Dafu!$H:$H,Dafu!$A:$A,A14,Dafu!$B:$B,B14),"")</f>
        <v>14</v>
      </c>
      <c r="E14" s="3" t="n">
        <f aca="false">IFERROR(_xlfn.MINIFS(Zhang!$E:$E,Zhang!$A:$A,A14,Zhang!$B:$B,B14),"")</f>
        <v>0</v>
      </c>
      <c r="F14" s="3" t="n">
        <f aca="false">IFERROR(_xlfn.MAXIFS(Zhang!$E:$E,Zhang!$A:$A,A14,Zhang!$B:$B,B14),"")</f>
        <v>0</v>
      </c>
      <c r="G14" s="3" t="n">
        <f aca="false">IFERROR(_xlfn.MINIFS(Referencia!$D:$D,Referencia!$A:$A,A14,Referencia!$B:$B,B14),"")</f>
        <v>0</v>
      </c>
      <c r="H14" s="2" t="str">
        <f aca="false">IF(AND(N(C14)=0,N(E14)=0),"-",IF(N(E14)=0,"Dafu",IF(N(C14)=0,"Zhang",IF(C14&lt;=E14,"Dafu","Zhang"))))</f>
        <v>Dafu</v>
      </c>
      <c r="I14" s="4" t="s">
        <v>37</v>
      </c>
      <c r="J14" s="3" t="n">
        <f aca="false">IFERROR(_xlfn.MINIFS('Outros fornecedores'!$J:$J,'Outros fornecedores'!$A:$A,"Brasil",'Outros fornecedores'!$B:$B,A14,'Outros fornecedores'!$C:$C,B14),"")</f>
        <v>2</v>
      </c>
      <c r="K14" s="3" t="n">
        <f aca="false">IFERROR(_xlfn.MINIFS('Outros fornecedores'!$J:$J,'Outros fornecedores'!$A:$A,"China",'Outros fornecedores'!$B:$B,A14,'Outros fornecedores'!$C:$C,B14),"")</f>
        <v>0</v>
      </c>
    </row>
    <row r="15" customFormat="false" ht="26.85" hidden="false" customHeight="false" outlineLevel="0" collapsed="false">
      <c r="A15" s="2" t="s">
        <v>24</v>
      </c>
      <c r="B15" s="2" t="s">
        <v>38</v>
      </c>
      <c r="C15" s="3" t="n">
        <f aca="false">IFERROR(_xlfn.MINIFS(Dafu!$H:$H,Dafu!$A:$A,A15,Dafu!$B:$B,B15),"")</f>
        <v>3</v>
      </c>
      <c r="D15" s="3" t="n">
        <f aca="false">IFERROR(_xlfn.MAXIFS(Dafu!$H:$H,Dafu!$A:$A,A15,Dafu!$B:$B,B15),"")</f>
        <v>16.5</v>
      </c>
      <c r="E15" s="3" t="n">
        <f aca="false">IFERROR(_xlfn.MINIFS(Zhang!$E:$E,Zhang!$A:$A,A15,Zhang!$B:$B,B15),"")</f>
        <v>0</v>
      </c>
      <c r="F15" s="3" t="n">
        <f aca="false">IFERROR(_xlfn.MAXIFS(Zhang!$E:$E,Zhang!$A:$A,A15,Zhang!$B:$B,B15),"")</f>
        <v>0</v>
      </c>
      <c r="G15" s="3" t="n">
        <f aca="false">IFERROR(_xlfn.MINIFS(Referencia!$D:$D,Referencia!$A:$A,A15,Referencia!$B:$B,B15),"")</f>
        <v>0</v>
      </c>
      <c r="H15" s="2" t="str">
        <f aca="false">IF(AND(N(C15)=0,N(E15)=0),"-",IF(N(E15)=0,"Dafu",IF(N(C15)=0,"Zhang",IF(C15&lt;=E15,"Dafu","Zhang"))))</f>
        <v>Dafu</v>
      </c>
      <c r="I15" s="4" t="s">
        <v>39</v>
      </c>
      <c r="J15" s="3" t="n">
        <f aca="false">IFERROR(_xlfn.MINIFS('Outros fornecedores'!$J:$J,'Outros fornecedores'!$A:$A,"Brasil",'Outros fornecedores'!$B:$B,A15,'Outros fornecedores'!$C:$C,B15),"")</f>
        <v>0.64</v>
      </c>
      <c r="K15" s="3" t="n">
        <f aca="false">IFERROR(_xlfn.MINIFS('Outros fornecedores'!$J:$J,'Outros fornecedores'!$A:$A,"China",'Outros fornecedores'!$B:$B,A15,'Outros fornecedores'!$C:$C,B15),"")</f>
        <v>0</v>
      </c>
    </row>
    <row r="16" customFormat="false" ht="26.85" hidden="false" customHeight="false" outlineLevel="0" collapsed="false">
      <c r="A16" s="2" t="s">
        <v>24</v>
      </c>
      <c r="B16" s="2" t="s">
        <v>40</v>
      </c>
      <c r="C16" s="3" t="n">
        <f aca="false">IFERROR(_xlfn.MINIFS(Dafu!$H:$H,Dafu!$A:$A,A16,Dafu!$B:$B,B16),"")</f>
        <v>7</v>
      </c>
      <c r="D16" s="3" t="n">
        <f aca="false">IFERROR(_xlfn.MAXIFS(Dafu!$H:$H,Dafu!$A:$A,A16,Dafu!$B:$B,B16),"")</f>
        <v>220</v>
      </c>
      <c r="E16" s="3" t="n">
        <f aca="false">IFERROR(_xlfn.MINIFS(Zhang!$E:$E,Zhang!$A:$A,A16,Zhang!$B:$B,B16),"")</f>
        <v>0</v>
      </c>
      <c r="F16" s="3" t="n">
        <f aca="false">IFERROR(_xlfn.MAXIFS(Zhang!$E:$E,Zhang!$A:$A,A16,Zhang!$B:$B,B16),"")</f>
        <v>0</v>
      </c>
      <c r="G16" s="3" t="n">
        <f aca="false">IFERROR(_xlfn.MINIFS(Referencia!$D:$D,Referencia!$A:$A,A16,Referencia!$B:$B,B16),"")</f>
        <v>0</v>
      </c>
      <c r="H16" s="2" t="str">
        <f aca="false">IF(AND(N(C16)=0,N(E16)=0),"-",IF(N(E16)=0,"Dafu",IF(N(C16)=0,"Zhang",IF(C16&lt;=E16,"Dafu","Zhang"))))</f>
        <v>Dafu</v>
      </c>
      <c r="I16" s="4" t="s">
        <v>41</v>
      </c>
      <c r="J16" s="3" t="n">
        <f aca="false">IFERROR(_xlfn.MINIFS('Outros fornecedores'!$J:$J,'Outros fornecedores'!$A:$A,"Brasil",'Outros fornecedores'!$B:$B,A16,'Outros fornecedores'!$C:$C,B16),"")</f>
        <v>5.5</v>
      </c>
      <c r="K16" s="3" t="n">
        <f aca="false">IFERROR(_xlfn.MINIFS('Outros fornecedores'!$J:$J,'Outros fornecedores'!$A:$A,"China",'Outros fornecedores'!$B:$B,A16,'Outros fornecedores'!$C:$C,B16),"")</f>
        <v>0</v>
      </c>
    </row>
    <row r="18" customFormat="false" ht="15" hidden="false" customHeight="false" outlineLevel="0" collapsed="false">
      <c r="A18" s="5" t="s">
        <v>42</v>
      </c>
    </row>
    <row r="19" customFormat="false" ht="15" hidden="false" customHeight="false" outlineLevel="0" collapsed="false">
      <c r="A19" s="5" t="s">
        <v>43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46"/>
    <col collapsed="false" customWidth="true" hidden="false" outlineLevel="0" max="12" min="12" style="0" width="40"/>
    <col collapsed="false" customWidth="true" hidden="false" outlineLevel="0" max="14" min="14" style="0" width="28"/>
  </cols>
  <sheetData>
    <row r="1" customFormat="false" ht="31.5" hidden="false" customHeight="true" outlineLevel="0" collapsed="false">
      <c r="A1" s="1" t="s">
        <v>44</v>
      </c>
      <c r="B1" s="1" t="s">
        <v>0</v>
      </c>
      <c r="C1" s="1" t="s">
        <v>1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N1" s="6" t="s">
        <v>54</v>
      </c>
    </row>
    <row r="2" customFormat="false" ht="15" hidden="false" customHeight="false" outlineLevel="0" collapsed="false">
      <c r="A2" s="2" t="s">
        <v>55</v>
      </c>
      <c r="B2" s="2" t="s">
        <v>11</v>
      </c>
      <c r="C2" s="2" t="s">
        <v>14</v>
      </c>
      <c r="D2" s="2" t="s">
        <v>56</v>
      </c>
      <c r="E2" s="2" t="s">
        <v>57</v>
      </c>
      <c r="F2" s="2" t="s">
        <v>58</v>
      </c>
      <c r="G2" s="7" t="n">
        <v>1</v>
      </c>
      <c r="H2" s="8" t="n">
        <v>2.19</v>
      </c>
      <c r="I2" s="9" t="n">
        <f aca="false">H2/G2</f>
        <v>2.19</v>
      </c>
      <c r="J2" s="9" t="n">
        <f aca="false">I2*IF(A2="China",$O$2,1)</f>
        <v>2.19</v>
      </c>
      <c r="K2" s="2" t="s">
        <v>59</v>
      </c>
      <c r="L2" s="10" t="s">
        <v>60</v>
      </c>
      <c r="N2" s="2" t="s">
        <v>61</v>
      </c>
      <c r="O2" s="11" t="n">
        <v>1.9</v>
      </c>
    </row>
    <row r="3" customFormat="false" ht="15" hidden="false" customHeight="false" outlineLevel="0" collapsed="false">
      <c r="A3" s="2" t="s">
        <v>55</v>
      </c>
      <c r="B3" s="2" t="s">
        <v>11</v>
      </c>
      <c r="C3" s="2" t="s">
        <v>14</v>
      </c>
      <c r="D3" s="2" t="s">
        <v>62</v>
      </c>
      <c r="E3" s="2" t="s">
        <v>63</v>
      </c>
      <c r="F3" s="2" t="s">
        <v>64</v>
      </c>
      <c r="G3" s="7" t="n">
        <v>12</v>
      </c>
      <c r="H3" s="8" t="n">
        <v>35.9</v>
      </c>
      <c r="I3" s="9" t="n">
        <f aca="false">H3/G3</f>
        <v>2.99166666666667</v>
      </c>
      <c r="J3" s="9" t="n">
        <f aca="false">I3*IF(A3="China",$O$2,1)</f>
        <v>2.99166666666667</v>
      </c>
      <c r="K3" s="2" t="s">
        <v>65</v>
      </c>
      <c r="L3" s="10" t="s">
        <v>66</v>
      </c>
    </row>
    <row r="4" customFormat="false" ht="15" hidden="false" customHeight="false" outlineLevel="0" collapsed="false">
      <c r="A4" s="2" t="s">
        <v>55</v>
      </c>
      <c r="B4" s="2" t="s">
        <v>11</v>
      </c>
      <c r="C4" s="2" t="s">
        <v>14</v>
      </c>
      <c r="D4" s="2" t="s">
        <v>67</v>
      </c>
      <c r="E4" s="2" t="s">
        <v>68</v>
      </c>
      <c r="F4" s="2" t="s">
        <v>58</v>
      </c>
      <c r="G4" s="7" t="n">
        <v>10</v>
      </c>
      <c r="H4" s="8" t="n">
        <v>47.99</v>
      </c>
      <c r="I4" s="9" t="n">
        <f aca="false">H4/G4</f>
        <v>4.799</v>
      </c>
      <c r="J4" s="9" t="n">
        <f aca="false">I4*IF(A4="China",$O$2,1)</f>
        <v>4.799</v>
      </c>
      <c r="K4" s="2" t="s">
        <v>69</v>
      </c>
      <c r="L4" s="10" t="s">
        <v>70</v>
      </c>
      <c r="N4" s="5" t="s">
        <v>71</v>
      </c>
    </row>
    <row r="5" customFormat="false" ht="15" hidden="false" customHeight="false" outlineLevel="0" collapsed="false">
      <c r="A5" s="2" t="s">
        <v>55</v>
      </c>
      <c r="B5" s="2" t="s">
        <v>11</v>
      </c>
      <c r="C5" s="2" t="s">
        <v>14</v>
      </c>
      <c r="D5" s="2" t="s">
        <v>67</v>
      </c>
      <c r="E5" s="2" t="s">
        <v>72</v>
      </c>
      <c r="F5" s="2" t="s">
        <v>58</v>
      </c>
      <c r="G5" s="7" t="n">
        <v>12</v>
      </c>
      <c r="H5" s="8" t="n">
        <v>139.99</v>
      </c>
      <c r="I5" s="9" t="n">
        <f aca="false">H5/G5</f>
        <v>11.6658333333333</v>
      </c>
      <c r="J5" s="9" t="n">
        <f aca="false">I5*IF(A5="China",$O$2,1)</f>
        <v>11.6658333333333</v>
      </c>
      <c r="K5" s="2" t="s">
        <v>73</v>
      </c>
      <c r="L5" s="10" t="s">
        <v>70</v>
      </c>
      <c r="N5" s="5" t="s">
        <v>74</v>
      </c>
    </row>
    <row r="6" customFormat="false" ht="15" hidden="false" customHeight="false" outlineLevel="0" collapsed="false">
      <c r="A6" s="2" t="s">
        <v>55</v>
      </c>
      <c r="B6" s="2" t="s">
        <v>11</v>
      </c>
      <c r="C6" s="2" t="s">
        <v>18</v>
      </c>
      <c r="D6" s="2" t="s">
        <v>67</v>
      </c>
      <c r="E6" s="2" t="s">
        <v>75</v>
      </c>
      <c r="F6" s="2" t="s">
        <v>58</v>
      </c>
      <c r="G6" s="7" t="n">
        <v>12</v>
      </c>
      <c r="H6" s="8" t="n">
        <v>199.99</v>
      </c>
      <c r="I6" s="9" t="n">
        <f aca="false">H6/G6</f>
        <v>16.6658333333333</v>
      </c>
      <c r="J6" s="9" t="n">
        <f aca="false">I6*IF(A6="China",$O$2,1)</f>
        <v>16.6658333333333</v>
      </c>
      <c r="K6" s="2" t="s">
        <v>76</v>
      </c>
      <c r="L6" s="10" t="s">
        <v>70</v>
      </c>
      <c r="N6" s="5" t="s">
        <v>77</v>
      </c>
    </row>
    <row r="7" customFormat="false" ht="15" hidden="false" customHeight="false" outlineLevel="0" collapsed="false">
      <c r="A7" s="2" t="s">
        <v>55</v>
      </c>
      <c r="B7" s="2" t="s">
        <v>11</v>
      </c>
      <c r="C7" s="2" t="s">
        <v>20</v>
      </c>
      <c r="D7" s="2" t="s">
        <v>56</v>
      </c>
      <c r="E7" s="2" t="s">
        <v>78</v>
      </c>
      <c r="F7" s="2" t="s">
        <v>79</v>
      </c>
      <c r="G7" s="7" t="n">
        <v>10</v>
      </c>
      <c r="H7" s="8" t="n">
        <v>15</v>
      </c>
      <c r="I7" s="9" t="n">
        <f aca="false">H7/G7</f>
        <v>1.5</v>
      </c>
      <c r="J7" s="9" t="n">
        <f aca="false">I7*IF(A7="China",$O$2,1)</f>
        <v>1.5</v>
      </c>
      <c r="K7" s="2" t="s">
        <v>80</v>
      </c>
      <c r="L7" s="10" t="s">
        <v>60</v>
      </c>
      <c r="N7" s="5" t="s">
        <v>81</v>
      </c>
    </row>
    <row r="8" customFormat="false" ht="15" hidden="false" customHeight="false" outlineLevel="0" collapsed="false">
      <c r="A8" s="2" t="s">
        <v>55</v>
      </c>
      <c r="B8" s="2" t="s">
        <v>11</v>
      </c>
      <c r="C8" s="2" t="s">
        <v>20</v>
      </c>
      <c r="D8" s="2" t="s">
        <v>62</v>
      </c>
      <c r="E8" s="2" t="s">
        <v>82</v>
      </c>
      <c r="F8" s="2" t="s">
        <v>83</v>
      </c>
      <c r="G8" s="7" t="n">
        <v>10</v>
      </c>
      <c r="H8" s="8" t="n">
        <v>29.9</v>
      </c>
      <c r="I8" s="9" t="n">
        <f aca="false">H8/G8</f>
        <v>2.99</v>
      </c>
      <c r="J8" s="9" t="n">
        <f aca="false">I8*IF(A8="China",$O$2,1)</f>
        <v>2.99</v>
      </c>
      <c r="K8" s="2"/>
      <c r="L8" s="10" t="s">
        <v>66</v>
      </c>
    </row>
    <row r="9" customFormat="false" ht="15" hidden="false" customHeight="false" outlineLevel="0" collapsed="false">
      <c r="A9" s="2" t="s">
        <v>55</v>
      </c>
      <c r="B9" s="2" t="s">
        <v>11</v>
      </c>
      <c r="C9" s="2" t="s">
        <v>20</v>
      </c>
      <c r="D9" s="2" t="s">
        <v>62</v>
      </c>
      <c r="E9" s="2" t="s">
        <v>84</v>
      </c>
      <c r="F9" s="2" t="s">
        <v>85</v>
      </c>
      <c r="G9" s="7" t="n">
        <v>10</v>
      </c>
      <c r="H9" s="8" t="n">
        <v>40.9</v>
      </c>
      <c r="I9" s="9" t="n">
        <f aca="false">H9/G9</f>
        <v>4.09</v>
      </c>
      <c r="J9" s="9" t="n">
        <f aca="false">I9*IF(A9="China",$O$2,1)</f>
        <v>4.09</v>
      </c>
      <c r="K9" s="2"/>
      <c r="L9" s="10" t="s">
        <v>66</v>
      </c>
    </row>
    <row r="10" customFormat="false" ht="15" hidden="false" customHeight="false" outlineLevel="0" collapsed="false">
      <c r="A10" s="2" t="s">
        <v>55</v>
      </c>
      <c r="B10" s="2" t="s">
        <v>11</v>
      </c>
      <c r="C10" s="2" t="s">
        <v>20</v>
      </c>
      <c r="D10" s="2" t="s">
        <v>62</v>
      </c>
      <c r="E10" s="2" t="s">
        <v>86</v>
      </c>
      <c r="F10" s="2" t="s">
        <v>87</v>
      </c>
      <c r="G10" s="7" t="n">
        <v>10</v>
      </c>
      <c r="H10" s="8" t="n">
        <v>53.8</v>
      </c>
      <c r="I10" s="9" t="n">
        <f aca="false">H10/G10</f>
        <v>5.38</v>
      </c>
      <c r="J10" s="9" t="n">
        <f aca="false">I10*IF(A10="China",$O$2,1)</f>
        <v>5.38</v>
      </c>
      <c r="K10" s="2" t="s">
        <v>88</v>
      </c>
      <c r="L10" s="10" t="s">
        <v>66</v>
      </c>
    </row>
    <row r="11" customFormat="false" ht="15" hidden="false" customHeight="false" outlineLevel="0" collapsed="false">
      <c r="A11" s="2" t="s">
        <v>55</v>
      </c>
      <c r="B11" s="2" t="s">
        <v>11</v>
      </c>
      <c r="C11" s="2" t="s">
        <v>20</v>
      </c>
      <c r="D11" s="2" t="s">
        <v>56</v>
      </c>
      <c r="E11" s="2" t="s">
        <v>89</v>
      </c>
      <c r="F11" s="2" t="s">
        <v>90</v>
      </c>
      <c r="G11" s="7" t="n">
        <v>1</v>
      </c>
      <c r="H11" s="8" t="n">
        <v>5.26</v>
      </c>
      <c r="I11" s="9" t="n">
        <f aca="false">H11/G11</f>
        <v>5.26</v>
      </c>
      <c r="J11" s="9" t="n">
        <f aca="false">I11*IF(A11="China",$O$2,1)</f>
        <v>5.26</v>
      </c>
      <c r="K11" s="2" t="s">
        <v>91</v>
      </c>
      <c r="L11" s="10" t="s">
        <v>60</v>
      </c>
    </row>
    <row r="12" customFormat="false" ht="15" hidden="false" customHeight="false" outlineLevel="0" collapsed="false">
      <c r="A12" s="2" t="s">
        <v>55</v>
      </c>
      <c r="B12" s="2" t="s">
        <v>11</v>
      </c>
      <c r="C12" s="2" t="s">
        <v>12</v>
      </c>
      <c r="D12" s="2" t="s">
        <v>92</v>
      </c>
      <c r="E12" s="2" t="s">
        <v>93</v>
      </c>
      <c r="F12" s="2" t="s">
        <v>94</v>
      </c>
      <c r="G12" s="7" t="n">
        <v>1</v>
      </c>
      <c r="H12" s="8" t="n">
        <v>20.55</v>
      </c>
      <c r="I12" s="9" t="n">
        <f aca="false">H12/G12</f>
        <v>20.55</v>
      </c>
      <c r="J12" s="9" t="n">
        <f aca="false">I12*IF(A12="China",$O$2,1)</f>
        <v>20.55</v>
      </c>
      <c r="K12" s="2" t="s">
        <v>95</v>
      </c>
      <c r="L12" s="10" t="s">
        <v>96</v>
      </c>
    </row>
    <row r="13" customFormat="false" ht="15" hidden="false" customHeight="false" outlineLevel="0" collapsed="false">
      <c r="A13" s="2" t="s">
        <v>55</v>
      </c>
      <c r="B13" s="2" t="s">
        <v>11</v>
      </c>
      <c r="C13" s="2" t="s">
        <v>12</v>
      </c>
      <c r="D13" s="2" t="s">
        <v>92</v>
      </c>
      <c r="E13" s="2" t="s">
        <v>97</v>
      </c>
      <c r="F13" s="2" t="s">
        <v>94</v>
      </c>
      <c r="G13" s="7" t="n">
        <v>1</v>
      </c>
      <c r="H13" s="8" t="n">
        <v>28.29</v>
      </c>
      <c r="I13" s="9" t="n">
        <f aca="false">H13/G13</f>
        <v>28.29</v>
      </c>
      <c r="J13" s="9" t="n">
        <f aca="false">I13*IF(A13="China",$O$2,1)</f>
        <v>28.29</v>
      </c>
      <c r="K13" s="2" t="s">
        <v>98</v>
      </c>
      <c r="L13" s="10" t="s">
        <v>96</v>
      </c>
    </row>
    <row r="14" customFormat="false" ht="15" hidden="false" customHeight="false" outlineLevel="0" collapsed="false">
      <c r="A14" s="2" t="s">
        <v>55</v>
      </c>
      <c r="B14" s="2" t="s">
        <v>11</v>
      </c>
      <c r="C14" s="2" t="s">
        <v>12</v>
      </c>
      <c r="D14" s="2" t="s">
        <v>92</v>
      </c>
      <c r="E14" s="2" t="s">
        <v>99</v>
      </c>
      <c r="F14" s="2" t="s">
        <v>100</v>
      </c>
      <c r="G14" s="7" t="n">
        <v>1</v>
      </c>
      <c r="H14" s="8" t="n">
        <v>37.75</v>
      </c>
      <c r="I14" s="9" t="n">
        <f aca="false">H14/G14</f>
        <v>37.75</v>
      </c>
      <c r="J14" s="9" t="n">
        <f aca="false">I14*IF(A14="China",$O$2,1)</f>
        <v>37.75</v>
      </c>
      <c r="K14" s="2" t="s">
        <v>98</v>
      </c>
      <c r="L14" s="10" t="s">
        <v>96</v>
      </c>
    </row>
    <row r="15" customFormat="false" ht="15" hidden="false" customHeight="false" outlineLevel="0" collapsed="false">
      <c r="A15" s="2" t="s">
        <v>55</v>
      </c>
      <c r="B15" s="2" t="s">
        <v>11</v>
      </c>
      <c r="C15" s="2" t="s">
        <v>22</v>
      </c>
      <c r="D15" s="2" t="s">
        <v>56</v>
      </c>
      <c r="E15" s="2" t="s">
        <v>101</v>
      </c>
      <c r="F15" s="2" t="s">
        <v>102</v>
      </c>
      <c r="G15" s="7" t="n">
        <v>6</v>
      </c>
      <c r="H15" s="8" t="n">
        <v>21</v>
      </c>
      <c r="I15" s="9" t="n">
        <f aca="false">H15/G15</f>
        <v>3.5</v>
      </c>
      <c r="J15" s="9" t="n">
        <f aca="false">I15*IF(A15="China",$O$2,1)</f>
        <v>3.5</v>
      </c>
      <c r="K15" s="2" t="s">
        <v>103</v>
      </c>
      <c r="L15" s="10" t="s">
        <v>60</v>
      </c>
    </row>
    <row r="16" customFormat="false" ht="15" hidden="false" customHeight="false" outlineLevel="0" collapsed="false">
      <c r="A16" s="2" t="s">
        <v>55</v>
      </c>
      <c r="B16" s="2" t="s">
        <v>11</v>
      </c>
      <c r="C16" s="2" t="s">
        <v>22</v>
      </c>
      <c r="D16" s="2" t="s">
        <v>62</v>
      </c>
      <c r="E16" s="2" t="s">
        <v>104</v>
      </c>
      <c r="F16" s="2" t="s">
        <v>105</v>
      </c>
      <c r="G16" s="7" t="n">
        <v>12</v>
      </c>
      <c r="H16" s="8" t="n">
        <v>48</v>
      </c>
      <c r="I16" s="9" t="n">
        <f aca="false">H16/G16</f>
        <v>4</v>
      </c>
      <c r="J16" s="9" t="n">
        <f aca="false">I16*IF(A16="China",$O$2,1)</f>
        <v>4</v>
      </c>
      <c r="K16" s="2"/>
      <c r="L16" s="10" t="s">
        <v>66</v>
      </c>
    </row>
    <row r="17" customFormat="false" ht="15" hidden="false" customHeight="false" outlineLevel="0" collapsed="false">
      <c r="A17" s="2" t="s">
        <v>55</v>
      </c>
      <c r="B17" s="2" t="s">
        <v>11</v>
      </c>
      <c r="C17" s="2" t="s">
        <v>22</v>
      </c>
      <c r="D17" s="2" t="s">
        <v>62</v>
      </c>
      <c r="E17" s="2" t="s">
        <v>106</v>
      </c>
      <c r="F17" s="2" t="s">
        <v>107</v>
      </c>
      <c r="G17" s="7" t="n">
        <v>12</v>
      </c>
      <c r="H17" s="8" t="n">
        <v>64.8</v>
      </c>
      <c r="I17" s="9" t="n">
        <f aca="false">H17/G17</f>
        <v>5.4</v>
      </c>
      <c r="J17" s="9" t="n">
        <f aca="false">I17*IF(A17="China",$O$2,1)</f>
        <v>5.4</v>
      </c>
      <c r="K17" s="2"/>
      <c r="L17" s="10" t="s">
        <v>66</v>
      </c>
    </row>
    <row r="18" customFormat="false" ht="15" hidden="false" customHeight="false" outlineLevel="0" collapsed="false">
      <c r="A18" s="2" t="s">
        <v>55</v>
      </c>
      <c r="B18" s="2" t="s">
        <v>24</v>
      </c>
      <c r="C18" s="2" t="s">
        <v>25</v>
      </c>
      <c r="D18" s="2" t="s">
        <v>67</v>
      </c>
      <c r="E18" s="2" t="s">
        <v>108</v>
      </c>
      <c r="F18" s="2" t="s">
        <v>58</v>
      </c>
      <c r="G18" s="7" t="n">
        <v>12</v>
      </c>
      <c r="H18" s="8" t="n">
        <v>27.99</v>
      </c>
      <c r="I18" s="9" t="n">
        <f aca="false">H18/G18</f>
        <v>2.3325</v>
      </c>
      <c r="J18" s="9" t="n">
        <f aca="false">I18*IF(A18="China",$O$2,1)</f>
        <v>2.3325</v>
      </c>
      <c r="K18" s="2" t="s">
        <v>109</v>
      </c>
      <c r="L18" s="10" t="s">
        <v>110</v>
      </c>
    </row>
    <row r="19" customFormat="false" ht="15" hidden="false" customHeight="false" outlineLevel="0" collapsed="false">
      <c r="A19" s="2" t="s">
        <v>55</v>
      </c>
      <c r="B19" s="2" t="s">
        <v>24</v>
      </c>
      <c r="C19" s="2" t="s">
        <v>25</v>
      </c>
      <c r="D19" s="2" t="s">
        <v>67</v>
      </c>
      <c r="E19" s="2" t="s">
        <v>111</v>
      </c>
      <c r="F19" s="2" t="s">
        <v>58</v>
      </c>
      <c r="G19" s="7" t="n">
        <v>12</v>
      </c>
      <c r="H19" s="8" t="n">
        <v>29.99</v>
      </c>
      <c r="I19" s="9" t="n">
        <f aca="false">H19/G19</f>
        <v>2.49916666666667</v>
      </c>
      <c r="J19" s="9" t="n">
        <f aca="false">I19*IF(A19="China",$O$2,1)</f>
        <v>2.49916666666667</v>
      </c>
      <c r="K19" s="2" t="s">
        <v>109</v>
      </c>
      <c r="L19" s="10" t="s">
        <v>110</v>
      </c>
    </row>
    <row r="20" customFormat="false" ht="15" hidden="false" customHeight="false" outlineLevel="0" collapsed="false">
      <c r="A20" s="2" t="s">
        <v>55</v>
      </c>
      <c r="B20" s="2" t="s">
        <v>24</v>
      </c>
      <c r="C20" s="2" t="s">
        <v>25</v>
      </c>
      <c r="D20" s="2" t="s">
        <v>67</v>
      </c>
      <c r="E20" s="2" t="s">
        <v>112</v>
      </c>
      <c r="F20" s="2" t="s">
        <v>58</v>
      </c>
      <c r="G20" s="7" t="n">
        <v>12</v>
      </c>
      <c r="H20" s="8" t="n">
        <v>34.99</v>
      </c>
      <c r="I20" s="9" t="n">
        <f aca="false">H20/G20</f>
        <v>2.91583333333333</v>
      </c>
      <c r="J20" s="9" t="n">
        <f aca="false">I20*IF(A20="China",$O$2,1)</f>
        <v>2.91583333333333</v>
      </c>
      <c r="K20" s="2"/>
      <c r="L20" s="10" t="s">
        <v>110</v>
      </c>
    </row>
    <row r="21" customFormat="false" ht="15" hidden="false" customHeight="false" outlineLevel="0" collapsed="false">
      <c r="A21" s="2" t="s">
        <v>55</v>
      </c>
      <c r="B21" s="2" t="s">
        <v>24</v>
      </c>
      <c r="C21" s="2" t="s">
        <v>25</v>
      </c>
      <c r="D21" s="2" t="s">
        <v>62</v>
      </c>
      <c r="E21" s="2" t="s">
        <v>113</v>
      </c>
      <c r="F21" s="2" t="s">
        <v>114</v>
      </c>
      <c r="G21" s="7" t="n">
        <v>12</v>
      </c>
      <c r="H21" s="8" t="n">
        <v>48</v>
      </c>
      <c r="I21" s="9" t="n">
        <f aca="false">H21/G21</f>
        <v>4</v>
      </c>
      <c r="J21" s="9" t="n">
        <f aca="false">I21*IF(A21="China",$O$2,1)</f>
        <v>4</v>
      </c>
      <c r="K21" s="2"/>
      <c r="L21" s="10" t="s">
        <v>115</v>
      </c>
    </row>
    <row r="22" customFormat="false" ht="15" hidden="false" customHeight="false" outlineLevel="0" collapsed="false">
      <c r="A22" s="2" t="s">
        <v>55</v>
      </c>
      <c r="B22" s="2" t="s">
        <v>24</v>
      </c>
      <c r="C22" s="2" t="s">
        <v>25</v>
      </c>
      <c r="D22" s="2" t="s">
        <v>62</v>
      </c>
      <c r="E22" s="2" t="s">
        <v>116</v>
      </c>
      <c r="F22" s="2" t="s">
        <v>64</v>
      </c>
      <c r="G22" s="7" t="n">
        <v>12</v>
      </c>
      <c r="H22" s="8" t="n">
        <v>102.9</v>
      </c>
      <c r="I22" s="9" t="n">
        <f aca="false">H22/G22</f>
        <v>8.575</v>
      </c>
      <c r="J22" s="9" t="n">
        <f aca="false">I22*IF(A22="China",$O$2,1)</f>
        <v>8.575</v>
      </c>
      <c r="K22" s="2" t="s">
        <v>117</v>
      </c>
      <c r="L22" s="10" t="s">
        <v>115</v>
      </c>
    </row>
    <row r="23" customFormat="false" ht="15" hidden="false" customHeight="false" outlineLevel="0" collapsed="false">
      <c r="A23" s="2" t="s">
        <v>55</v>
      </c>
      <c r="B23" s="2" t="s">
        <v>24</v>
      </c>
      <c r="C23" s="2" t="s">
        <v>22</v>
      </c>
      <c r="D23" s="2" t="s">
        <v>67</v>
      </c>
      <c r="E23" s="2" t="s">
        <v>118</v>
      </c>
      <c r="F23" s="2" t="s">
        <v>58</v>
      </c>
      <c r="G23" s="7" t="n">
        <v>12</v>
      </c>
      <c r="H23" s="8" t="n">
        <v>27.99</v>
      </c>
      <c r="I23" s="9" t="n">
        <f aca="false">H23/G23</f>
        <v>2.3325</v>
      </c>
      <c r="J23" s="9" t="n">
        <f aca="false">I23*IF(A23="China",$O$2,1)</f>
        <v>2.3325</v>
      </c>
      <c r="K23" s="2"/>
      <c r="L23" s="10" t="s">
        <v>110</v>
      </c>
    </row>
    <row r="24" customFormat="false" ht="15" hidden="false" customHeight="false" outlineLevel="0" collapsed="false">
      <c r="A24" s="2" t="s">
        <v>55</v>
      </c>
      <c r="B24" s="2" t="s">
        <v>24</v>
      </c>
      <c r="C24" s="2" t="s">
        <v>22</v>
      </c>
      <c r="D24" s="2" t="s">
        <v>67</v>
      </c>
      <c r="E24" s="2" t="s">
        <v>119</v>
      </c>
      <c r="F24" s="2" t="s">
        <v>58</v>
      </c>
      <c r="G24" s="7" t="n">
        <v>20</v>
      </c>
      <c r="H24" s="8" t="n">
        <v>19.99</v>
      </c>
      <c r="I24" s="9" t="n">
        <f aca="false">H24/G24</f>
        <v>0.9995</v>
      </c>
      <c r="J24" s="9" t="n">
        <f aca="false">I24*IF(A24="China",$O$2,1)</f>
        <v>0.9995</v>
      </c>
      <c r="K24" s="2" t="s">
        <v>120</v>
      </c>
      <c r="L24" s="10" t="s">
        <v>110</v>
      </c>
    </row>
    <row r="25" customFormat="false" ht="15" hidden="false" customHeight="false" outlineLevel="0" collapsed="false">
      <c r="A25" s="2" t="s">
        <v>121</v>
      </c>
      <c r="B25" s="2" t="s">
        <v>11</v>
      </c>
      <c r="C25" s="2" t="s">
        <v>12</v>
      </c>
      <c r="D25" s="2" t="s">
        <v>122</v>
      </c>
      <c r="E25" s="2" t="s">
        <v>123</v>
      </c>
      <c r="F25" s="2" t="s">
        <v>124</v>
      </c>
      <c r="G25" s="7" t="n">
        <v>1</v>
      </c>
      <c r="H25" s="8" t="n">
        <v>5.26</v>
      </c>
      <c r="I25" s="9" t="n">
        <f aca="false">H25/G25</f>
        <v>5.26</v>
      </c>
      <c r="J25" s="9" t="n">
        <f aca="false">I25*IF(A25="China",$O$2,1)</f>
        <v>9.994</v>
      </c>
      <c r="K25" s="2" t="s">
        <v>125</v>
      </c>
      <c r="L25" s="10" t="s">
        <v>126</v>
      </c>
    </row>
    <row r="26" customFormat="false" ht="15" hidden="false" customHeight="false" outlineLevel="0" collapsed="false">
      <c r="A26" s="2" t="s">
        <v>121</v>
      </c>
      <c r="B26" s="2" t="s">
        <v>11</v>
      </c>
      <c r="C26" s="2" t="s">
        <v>12</v>
      </c>
      <c r="D26" s="2" t="s">
        <v>122</v>
      </c>
      <c r="E26" s="2" t="s">
        <v>127</v>
      </c>
      <c r="F26" s="2" t="s">
        <v>124</v>
      </c>
      <c r="G26" s="7" t="n">
        <v>1</v>
      </c>
      <c r="H26" s="8" t="n">
        <v>6.44</v>
      </c>
      <c r="I26" s="9" t="n">
        <f aca="false">H26/G26</f>
        <v>6.44</v>
      </c>
      <c r="J26" s="9" t="n">
        <f aca="false">I26*IF(A26="China",$O$2,1)</f>
        <v>12.236</v>
      </c>
      <c r="K26" s="2" t="s">
        <v>128</v>
      </c>
      <c r="L26" s="10" t="s">
        <v>126</v>
      </c>
    </row>
    <row r="27" customFormat="false" ht="15" hidden="false" customHeight="false" outlineLevel="0" collapsed="false">
      <c r="A27" s="2" t="s">
        <v>121</v>
      </c>
      <c r="B27" s="2" t="s">
        <v>11</v>
      </c>
      <c r="C27" s="2" t="s">
        <v>12</v>
      </c>
      <c r="D27" s="2" t="s">
        <v>129</v>
      </c>
      <c r="E27" s="2" t="s">
        <v>130</v>
      </c>
      <c r="F27" s="2" t="s">
        <v>58</v>
      </c>
      <c r="G27" s="7" t="n">
        <v>1</v>
      </c>
      <c r="H27" s="8" t="n">
        <v>10.71</v>
      </c>
      <c r="I27" s="9" t="n">
        <f aca="false">H27/G27</f>
        <v>10.71</v>
      </c>
      <c r="J27" s="9" t="n">
        <f aca="false">I27*IF(A27="China",$O$2,1)</f>
        <v>20.349</v>
      </c>
      <c r="K27" s="2" t="s">
        <v>131</v>
      </c>
      <c r="L27" s="10" t="s">
        <v>126</v>
      </c>
    </row>
    <row r="28" customFormat="false" ht="15" hidden="false" customHeight="false" outlineLevel="0" collapsed="false">
      <c r="A28" s="2" t="s">
        <v>121</v>
      </c>
      <c r="B28" s="2" t="s">
        <v>11</v>
      </c>
      <c r="C28" s="2" t="s">
        <v>14</v>
      </c>
      <c r="D28" s="2" t="s">
        <v>132</v>
      </c>
      <c r="E28" s="2" t="s">
        <v>133</v>
      </c>
      <c r="F28" s="2" t="s">
        <v>58</v>
      </c>
      <c r="G28" s="7" t="n">
        <v>1</v>
      </c>
      <c r="H28" s="8" t="n">
        <v>5.1</v>
      </c>
      <c r="I28" s="9" t="n">
        <f aca="false">H28/G28</f>
        <v>5.1</v>
      </c>
      <c r="J28" s="9" t="n">
        <f aca="false">I28*IF(A28="China",$O$2,1)</f>
        <v>9.69</v>
      </c>
      <c r="K28" s="2" t="s">
        <v>134</v>
      </c>
      <c r="L28" s="10" t="s">
        <v>135</v>
      </c>
    </row>
    <row r="29" customFormat="false" ht="15" hidden="false" customHeight="false" outlineLevel="0" collapsed="false">
      <c r="A29" s="2" t="s">
        <v>121</v>
      </c>
      <c r="B29" s="2" t="s">
        <v>11</v>
      </c>
      <c r="C29" s="2" t="s">
        <v>14</v>
      </c>
      <c r="D29" s="2" t="s">
        <v>136</v>
      </c>
      <c r="E29" s="2" t="s">
        <v>137</v>
      </c>
      <c r="F29" s="2" t="s">
        <v>58</v>
      </c>
      <c r="G29" s="7" t="n">
        <v>1</v>
      </c>
      <c r="H29" s="8" t="n">
        <v>10.25</v>
      </c>
      <c r="I29" s="9" t="n">
        <f aca="false">H29/G29</f>
        <v>10.25</v>
      </c>
      <c r="J29" s="9" t="n">
        <f aca="false">I29*IF(A29="China",$O$2,1)</f>
        <v>19.475</v>
      </c>
      <c r="K29" s="2" t="s">
        <v>138</v>
      </c>
      <c r="L29" s="10" t="s">
        <v>135</v>
      </c>
    </row>
    <row r="30" customFormat="false" ht="15" hidden="false" customHeight="false" outlineLevel="0" collapsed="false">
      <c r="A30" s="2" t="s">
        <v>121</v>
      </c>
      <c r="B30" s="2" t="s">
        <v>24</v>
      </c>
      <c r="C30" s="2" t="s">
        <v>25</v>
      </c>
      <c r="D30" s="2" t="s">
        <v>139</v>
      </c>
      <c r="E30" s="2" t="s">
        <v>140</v>
      </c>
      <c r="F30" s="2" t="s">
        <v>58</v>
      </c>
      <c r="G30" s="7" t="n">
        <v>1</v>
      </c>
      <c r="H30" s="8" t="n">
        <v>2.32</v>
      </c>
      <c r="I30" s="9" t="n">
        <f aca="false">H30/G30</f>
        <v>2.32</v>
      </c>
      <c r="J30" s="9" t="n">
        <f aca="false">I30*IF(A30="China",$O$2,1)</f>
        <v>4.408</v>
      </c>
      <c r="K30" s="2" t="s">
        <v>141</v>
      </c>
      <c r="L30" s="10" t="s">
        <v>142</v>
      </c>
    </row>
    <row r="31" customFormat="false" ht="15" hidden="false" customHeight="false" outlineLevel="0" collapsed="false">
      <c r="A31" s="2" t="s">
        <v>121</v>
      </c>
      <c r="B31" s="2" t="s">
        <v>24</v>
      </c>
      <c r="C31" s="2" t="s">
        <v>25</v>
      </c>
      <c r="D31" s="2" t="s">
        <v>143</v>
      </c>
      <c r="E31" s="2" t="s">
        <v>144</v>
      </c>
      <c r="F31" s="2" t="s">
        <v>58</v>
      </c>
      <c r="G31" s="7" t="n">
        <v>1</v>
      </c>
      <c r="H31" s="8" t="n">
        <v>2.63</v>
      </c>
      <c r="I31" s="9" t="n">
        <f aca="false">H31/G31</f>
        <v>2.63</v>
      </c>
      <c r="J31" s="9" t="n">
        <f aca="false">I31*IF(A31="China",$O$2,1)</f>
        <v>4.997</v>
      </c>
      <c r="K31" s="2" t="s">
        <v>145</v>
      </c>
      <c r="L31" s="10" t="s">
        <v>142</v>
      </c>
    </row>
    <row r="32" customFormat="false" ht="15" hidden="false" customHeight="false" outlineLevel="0" collapsed="false">
      <c r="A32" s="2" t="s">
        <v>121</v>
      </c>
      <c r="B32" s="2" t="s">
        <v>24</v>
      </c>
      <c r="C32" s="2" t="s">
        <v>25</v>
      </c>
      <c r="D32" s="2" t="s">
        <v>146</v>
      </c>
      <c r="E32" s="2" t="s">
        <v>147</v>
      </c>
      <c r="F32" s="2" t="s">
        <v>58</v>
      </c>
      <c r="G32" s="7" t="n">
        <v>1</v>
      </c>
      <c r="H32" s="8" t="n">
        <v>3.81</v>
      </c>
      <c r="I32" s="9" t="n">
        <f aca="false">H32/G32</f>
        <v>3.81</v>
      </c>
      <c r="J32" s="9" t="n">
        <f aca="false">I32*IF(A32="China",$O$2,1)</f>
        <v>7.239</v>
      </c>
      <c r="K32" s="2" t="s">
        <v>148</v>
      </c>
      <c r="L32" s="10" t="s">
        <v>142</v>
      </c>
    </row>
    <row r="33" customFormat="false" ht="15" hidden="false" customHeight="false" outlineLevel="0" collapsed="false">
      <c r="A33" s="2" t="s">
        <v>121</v>
      </c>
      <c r="B33" s="2" t="s">
        <v>24</v>
      </c>
      <c r="C33" s="2" t="s">
        <v>29</v>
      </c>
      <c r="D33" s="2" t="s">
        <v>149</v>
      </c>
      <c r="E33" s="2" t="s">
        <v>150</v>
      </c>
      <c r="F33" s="2" t="s">
        <v>151</v>
      </c>
      <c r="G33" s="7" t="n">
        <v>1</v>
      </c>
      <c r="H33" s="8" t="n">
        <v>3.09</v>
      </c>
      <c r="I33" s="9" t="n">
        <f aca="false">H33/G33</f>
        <v>3.09</v>
      </c>
      <c r="J33" s="9" t="n">
        <f aca="false">I33*IF(A33="China",$O$2,1)</f>
        <v>5.871</v>
      </c>
      <c r="K33" s="2" t="s">
        <v>152</v>
      </c>
      <c r="L33" s="10" t="s">
        <v>153</v>
      </c>
    </row>
    <row r="34" customFormat="false" ht="15" hidden="false" customHeight="false" outlineLevel="0" collapsed="false">
      <c r="A34" s="2" t="s">
        <v>121</v>
      </c>
      <c r="B34" s="2" t="s">
        <v>24</v>
      </c>
      <c r="C34" s="2" t="s">
        <v>29</v>
      </c>
      <c r="D34" s="2" t="s">
        <v>154</v>
      </c>
      <c r="E34" s="2" t="s">
        <v>155</v>
      </c>
      <c r="F34" s="2" t="s">
        <v>58</v>
      </c>
      <c r="G34" s="7" t="n">
        <v>1</v>
      </c>
      <c r="H34" s="8" t="n">
        <v>5.62</v>
      </c>
      <c r="I34" s="9" t="n">
        <f aca="false">H34/G34</f>
        <v>5.62</v>
      </c>
      <c r="J34" s="9" t="n">
        <f aca="false">I34*IF(A34="China",$O$2,1)</f>
        <v>10.678</v>
      </c>
      <c r="K34" s="2" t="s">
        <v>156</v>
      </c>
      <c r="L34" s="10" t="s">
        <v>153</v>
      </c>
    </row>
    <row r="35" customFormat="false" ht="15" hidden="false" customHeight="false" outlineLevel="0" collapsed="false">
      <c r="A35" s="2" t="s">
        <v>55</v>
      </c>
      <c r="B35" s="2" t="s">
        <v>24</v>
      </c>
      <c r="C35" s="2" t="s">
        <v>29</v>
      </c>
      <c r="D35" s="2" t="s">
        <v>157</v>
      </c>
      <c r="E35" s="2" t="s">
        <v>158</v>
      </c>
      <c r="F35" s="2" t="s">
        <v>159</v>
      </c>
      <c r="G35" s="7" t="n">
        <v>12</v>
      </c>
      <c r="H35" s="8" t="n">
        <v>60</v>
      </c>
      <c r="I35" s="9" t="n">
        <f aca="false">H35/G35</f>
        <v>5</v>
      </c>
      <c r="J35" s="9" t="n">
        <f aca="false">I35*IF(A35="China",$O$2,1)</f>
        <v>5</v>
      </c>
      <c r="K35" s="2" t="s">
        <v>160</v>
      </c>
      <c r="L35" s="2" t="s">
        <v>161</v>
      </c>
    </row>
    <row r="36" customFormat="false" ht="15" hidden="false" customHeight="false" outlineLevel="0" collapsed="false">
      <c r="A36" s="2" t="s">
        <v>55</v>
      </c>
      <c r="B36" s="2" t="s">
        <v>24</v>
      </c>
      <c r="C36" s="2" t="s">
        <v>29</v>
      </c>
      <c r="D36" s="2" t="s">
        <v>157</v>
      </c>
      <c r="E36" s="2" t="s">
        <v>162</v>
      </c>
      <c r="F36" s="2" t="s">
        <v>58</v>
      </c>
      <c r="G36" s="7" t="n">
        <v>6</v>
      </c>
      <c r="H36" s="8" t="n">
        <v>36</v>
      </c>
      <c r="I36" s="9" t="n">
        <f aca="false">H36/G36</f>
        <v>6</v>
      </c>
      <c r="J36" s="9" t="n">
        <f aca="false">I36*IF(A36="China",$O$2,1)</f>
        <v>6</v>
      </c>
      <c r="K36" s="2" t="s">
        <v>163</v>
      </c>
      <c r="L36" s="2" t="s">
        <v>161</v>
      </c>
    </row>
    <row r="37" customFormat="false" ht="15" hidden="false" customHeight="false" outlineLevel="0" collapsed="false">
      <c r="A37" s="2" t="s">
        <v>55</v>
      </c>
      <c r="B37" s="2" t="s">
        <v>24</v>
      </c>
      <c r="C37" s="2" t="s">
        <v>32</v>
      </c>
      <c r="D37" s="2" t="s">
        <v>157</v>
      </c>
      <c r="E37" s="2" t="s">
        <v>164</v>
      </c>
      <c r="F37" s="2" t="s">
        <v>58</v>
      </c>
      <c r="G37" s="7" t="n">
        <v>12</v>
      </c>
      <c r="H37" s="8" t="n">
        <v>60</v>
      </c>
      <c r="I37" s="9" t="n">
        <f aca="false">H37/G37</f>
        <v>5</v>
      </c>
      <c r="J37" s="9" t="n">
        <f aca="false">I37*IF(A37="China",$O$2,1)</f>
        <v>5</v>
      </c>
      <c r="K37" s="2" t="s">
        <v>160</v>
      </c>
      <c r="L37" s="2" t="s">
        <v>161</v>
      </c>
    </row>
    <row r="38" customFormat="false" ht="15" hidden="false" customHeight="false" outlineLevel="0" collapsed="false">
      <c r="A38" s="2" t="s">
        <v>55</v>
      </c>
      <c r="B38" s="2" t="s">
        <v>24</v>
      </c>
      <c r="C38" s="2" t="s">
        <v>32</v>
      </c>
      <c r="D38" s="2" t="s">
        <v>157</v>
      </c>
      <c r="E38" s="2" t="s">
        <v>165</v>
      </c>
      <c r="F38" s="2" t="s">
        <v>166</v>
      </c>
      <c r="G38" s="7" t="n">
        <v>12</v>
      </c>
      <c r="H38" s="8" t="n">
        <v>72</v>
      </c>
      <c r="I38" s="9" t="n">
        <f aca="false">H38/G38</f>
        <v>6</v>
      </c>
      <c r="J38" s="9" t="n">
        <f aca="false">I38*IF(A38="China",$O$2,1)</f>
        <v>6</v>
      </c>
      <c r="K38" s="2" t="s">
        <v>167</v>
      </c>
      <c r="L38" s="2" t="s">
        <v>161</v>
      </c>
    </row>
    <row r="39" customFormat="false" ht="15" hidden="false" customHeight="false" outlineLevel="0" collapsed="false">
      <c r="A39" s="2" t="s">
        <v>55</v>
      </c>
      <c r="B39" s="2" t="s">
        <v>24</v>
      </c>
      <c r="C39" s="2" t="s">
        <v>34</v>
      </c>
      <c r="D39" s="2" t="s">
        <v>157</v>
      </c>
      <c r="E39" s="2" t="s">
        <v>168</v>
      </c>
      <c r="F39" s="2" t="s">
        <v>166</v>
      </c>
      <c r="G39" s="7" t="n">
        <v>12</v>
      </c>
      <c r="H39" s="8" t="n">
        <v>48</v>
      </c>
      <c r="I39" s="9" t="n">
        <f aca="false">H39/G39</f>
        <v>4</v>
      </c>
      <c r="J39" s="9" t="n">
        <f aca="false">I39*IF(A39="China",$O$2,1)</f>
        <v>4</v>
      </c>
      <c r="K39" s="2" t="s">
        <v>169</v>
      </c>
      <c r="L39" s="2" t="s">
        <v>161</v>
      </c>
    </row>
    <row r="40" customFormat="false" ht="15" hidden="false" customHeight="false" outlineLevel="0" collapsed="false">
      <c r="A40" s="2" t="s">
        <v>55</v>
      </c>
      <c r="B40" s="2" t="s">
        <v>24</v>
      </c>
      <c r="C40" s="2" t="s">
        <v>34</v>
      </c>
      <c r="D40" s="2" t="s">
        <v>157</v>
      </c>
      <c r="E40" s="2" t="s">
        <v>170</v>
      </c>
      <c r="F40" s="2" t="s">
        <v>171</v>
      </c>
      <c r="G40" s="7" t="n">
        <v>12</v>
      </c>
      <c r="H40" s="8" t="n">
        <v>144</v>
      </c>
      <c r="I40" s="9" t="n">
        <f aca="false">H40/G40</f>
        <v>12</v>
      </c>
      <c r="J40" s="9" t="n">
        <f aca="false">I40*IF(A40="China",$O$2,1)</f>
        <v>12</v>
      </c>
      <c r="K40" s="2" t="s">
        <v>172</v>
      </c>
      <c r="L40" s="2" t="s">
        <v>161</v>
      </c>
    </row>
    <row r="41" customFormat="false" ht="15" hidden="false" customHeight="false" outlineLevel="0" collapsed="false">
      <c r="A41" s="2" t="s">
        <v>55</v>
      </c>
      <c r="B41" s="2" t="s">
        <v>24</v>
      </c>
      <c r="C41" s="2" t="s">
        <v>34</v>
      </c>
      <c r="D41" s="2" t="s">
        <v>157</v>
      </c>
      <c r="E41" s="2" t="s">
        <v>173</v>
      </c>
      <c r="F41" s="2" t="s">
        <v>166</v>
      </c>
      <c r="G41" s="7" t="n">
        <v>1</v>
      </c>
      <c r="H41" s="8" t="n">
        <v>4</v>
      </c>
      <c r="I41" s="9" t="n">
        <f aca="false">H41/G41</f>
        <v>4</v>
      </c>
      <c r="J41" s="9" t="n">
        <f aca="false">I41*IF(A41="China",$O$2,1)</f>
        <v>4</v>
      </c>
      <c r="K41" s="2" t="s">
        <v>174</v>
      </c>
      <c r="L41" s="2" t="s">
        <v>161</v>
      </c>
    </row>
    <row r="42" customFormat="false" ht="15" hidden="false" customHeight="false" outlineLevel="0" collapsed="false">
      <c r="A42" s="2" t="s">
        <v>55</v>
      </c>
      <c r="B42" s="2" t="s">
        <v>24</v>
      </c>
      <c r="C42" s="2" t="s">
        <v>34</v>
      </c>
      <c r="D42" s="2" t="s">
        <v>157</v>
      </c>
      <c r="E42" s="2" t="s">
        <v>175</v>
      </c>
      <c r="F42" s="2" t="s">
        <v>166</v>
      </c>
      <c r="G42" s="7" t="n">
        <v>1</v>
      </c>
      <c r="H42" s="8" t="n">
        <v>9</v>
      </c>
      <c r="I42" s="9" t="n">
        <f aca="false">H42/G42</f>
        <v>9</v>
      </c>
      <c r="J42" s="9" t="n">
        <f aca="false">I42*IF(A42="China",$O$2,1)</f>
        <v>9</v>
      </c>
      <c r="K42" s="2" t="s">
        <v>176</v>
      </c>
      <c r="L42" s="2" t="s">
        <v>161</v>
      </c>
    </row>
    <row r="43" customFormat="false" ht="15" hidden="false" customHeight="false" outlineLevel="0" collapsed="false">
      <c r="A43" s="2" t="s">
        <v>55</v>
      </c>
      <c r="B43" s="2" t="s">
        <v>24</v>
      </c>
      <c r="C43" s="2" t="s">
        <v>34</v>
      </c>
      <c r="D43" s="2" t="s">
        <v>157</v>
      </c>
      <c r="E43" s="2" t="s">
        <v>177</v>
      </c>
      <c r="F43" s="2" t="s">
        <v>58</v>
      </c>
      <c r="G43" s="7" t="n">
        <v>12</v>
      </c>
      <c r="H43" s="8" t="n">
        <v>120</v>
      </c>
      <c r="I43" s="9" t="n">
        <f aca="false">H43/G43</f>
        <v>10</v>
      </c>
      <c r="J43" s="9" t="n">
        <f aca="false">I43*IF(A43="China",$O$2,1)</f>
        <v>10</v>
      </c>
      <c r="K43" s="2"/>
      <c r="L43" s="2" t="s">
        <v>161</v>
      </c>
    </row>
    <row r="44" customFormat="false" ht="15" hidden="false" customHeight="false" outlineLevel="0" collapsed="false">
      <c r="A44" s="2" t="s">
        <v>55</v>
      </c>
      <c r="B44" s="2" t="s">
        <v>24</v>
      </c>
      <c r="C44" s="2" t="s">
        <v>25</v>
      </c>
      <c r="D44" s="2" t="s">
        <v>157</v>
      </c>
      <c r="E44" s="2" t="s">
        <v>178</v>
      </c>
      <c r="F44" s="2" t="s">
        <v>179</v>
      </c>
      <c r="G44" s="7" t="n">
        <v>12</v>
      </c>
      <c r="H44" s="8" t="n">
        <v>72</v>
      </c>
      <c r="I44" s="9" t="n">
        <f aca="false">H44/G44</f>
        <v>6</v>
      </c>
      <c r="J44" s="9" t="n">
        <f aca="false">I44*IF(A44="China",$O$2,1)</f>
        <v>6</v>
      </c>
      <c r="K44" s="2" t="s">
        <v>180</v>
      </c>
      <c r="L44" s="2" t="s">
        <v>161</v>
      </c>
    </row>
    <row r="45" customFormat="false" ht="15" hidden="false" customHeight="false" outlineLevel="0" collapsed="false">
      <c r="A45" s="2" t="s">
        <v>55</v>
      </c>
      <c r="B45" s="2" t="s">
        <v>24</v>
      </c>
      <c r="C45" s="2" t="s">
        <v>25</v>
      </c>
      <c r="D45" s="2" t="s">
        <v>157</v>
      </c>
      <c r="E45" s="2" t="s">
        <v>181</v>
      </c>
      <c r="F45" s="2" t="s">
        <v>182</v>
      </c>
      <c r="G45" s="7" t="n">
        <v>12</v>
      </c>
      <c r="H45" s="8" t="n">
        <v>156</v>
      </c>
      <c r="I45" s="9" t="n">
        <f aca="false">H45/G45</f>
        <v>13</v>
      </c>
      <c r="J45" s="9" t="n">
        <f aca="false">I45*IF(A45="China",$O$2,1)</f>
        <v>13</v>
      </c>
      <c r="K45" s="2"/>
      <c r="L45" s="2" t="s">
        <v>161</v>
      </c>
    </row>
    <row r="46" customFormat="false" ht="15" hidden="false" customHeight="false" outlineLevel="0" collapsed="false">
      <c r="A46" s="2" t="s">
        <v>55</v>
      </c>
      <c r="B46" s="2" t="s">
        <v>24</v>
      </c>
      <c r="C46" s="2" t="s">
        <v>183</v>
      </c>
      <c r="D46" s="2" t="s">
        <v>157</v>
      </c>
      <c r="E46" s="2" t="s">
        <v>184</v>
      </c>
      <c r="F46" s="2" t="s">
        <v>58</v>
      </c>
      <c r="G46" s="7" t="n">
        <v>12</v>
      </c>
      <c r="H46" s="8" t="n">
        <v>24</v>
      </c>
      <c r="I46" s="9" t="n">
        <f aca="false">H46/G46</f>
        <v>2</v>
      </c>
      <c r="J46" s="9" t="n">
        <f aca="false">I46*IF(A46="China",$O$2,1)</f>
        <v>2</v>
      </c>
      <c r="K46" s="2" t="s">
        <v>185</v>
      </c>
      <c r="L46" s="2" t="s">
        <v>161</v>
      </c>
    </row>
    <row r="47" customFormat="false" ht="15" hidden="false" customHeight="false" outlineLevel="0" collapsed="false">
      <c r="A47" s="2" t="s">
        <v>55</v>
      </c>
      <c r="B47" s="2" t="s">
        <v>24</v>
      </c>
      <c r="C47" s="2" t="s">
        <v>38</v>
      </c>
      <c r="D47" s="2" t="s">
        <v>157</v>
      </c>
      <c r="E47" s="2" t="s">
        <v>186</v>
      </c>
      <c r="F47" s="2" t="s">
        <v>187</v>
      </c>
      <c r="G47" s="7" t="n">
        <v>50</v>
      </c>
      <c r="H47" s="8" t="n">
        <v>32</v>
      </c>
      <c r="I47" s="9" t="n">
        <f aca="false">H47/G47</f>
        <v>0.64</v>
      </c>
      <c r="J47" s="9" t="n">
        <f aca="false">I47*IF(A47="China",$O$2,1)</f>
        <v>0.64</v>
      </c>
      <c r="K47" s="2" t="s">
        <v>188</v>
      </c>
      <c r="L47" s="2" t="s">
        <v>161</v>
      </c>
    </row>
    <row r="48" customFormat="false" ht="15" hidden="false" customHeight="false" outlineLevel="0" collapsed="false">
      <c r="A48" s="2" t="s">
        <v>55</v>
      </c>
      <c r="B48" s="2" t="s">
        <v>24</v>
      </c>
      <c r="C48" s="2" t="s">
        <v>38</v>
      </c>
      <c r="D48" s="2" t="s">
        <v>157</v>
      </c>
      <c r="E48" s="2" t="s">
        <v>189</v>
      </c>
      <c r="F48" s="2" t="s">
        <v>58</v>
      </c>
      <c r="G48" s="7" t="n">
        <v>12</v>
      </c>
      <c r="H48" s="8" t="n">
        <v>60</v>
      </c>
      <c r="I48" s="9" t="n">
        <f aca="false">H48/G48</f>
        <v>5</v>
      </c>
      <c r="J48" s="9" t="n">
        <f aca="false">I48*IF(A48="China",$O$2,1)</f>
        <v>5</v>
      </c>
      <c r="K48" s="2" t="s">
        <v>190</v>
      </c>
      <c r="L48" s="2" t="s">
        <v>161</v>
      </c>
    </row>
    <row r="49" customFormat="false" ht="15" hidden="false" customHeight="false" outlineLevel="0" collapsed="false">
      <c r="A49" s="2" t="s">
        <v>55</v>
      </c>
      <c r="B49" s="2" t="s">
        <v>24</v>
      </c>
      <c r="C49" s="2" t="s">
        <v>38</v>
      </c>
      <c r="D49" s="2" t="s">
        <v>157</v>
      </c>
      <c r="E49" s="2" t="s">
        <v>191</v>
      </c>
      <c r="F49" s="2" t="s">
        <v>58</v>
      </c>
      <c r="G49" s="7" t="n">
        <v>12</v>
      </c>
      <c r="H49" s="8" t="n">
        <v>48</v>
      </c>
      <c r="I49" s="9" t="n">
        <f aca="false">H49/G49</f>
        <v>4</v>
      </c>
      <c r="J49" s="9" t="n">
        <f aca="false">I49*IF(A49="China",$O$2,1)</f>
        <v>4</v>
      </c>
      <c r="K49" s="2"/>
      <c r="L49" s="2" t="s">
        <v>161</v>
      </c>
    </row>
    <row r="50" customFormat="false" ht="15" hidden="false" customHeight="false" outlineLevel="0" collapsed="false">
      <c r="A50" s="2" t="s">
        <v>55</v>
      </c>
      <c r="B50" s="2" t="s">
        <v>24</v>
      </c>
      <c r="C50" s="2" t="s">
        <v>38</v>
      </c>
      <c r="D50" s="2" t="s">
        <v>157</v>
      </c>
      <c r="E50" s="2" t="s">
        <v>192</v>
      </c>
      <c r="F50" s="2" t="s">
        <v>58</v>
      </c>
      <c r="G50" s="7" t="n">
        <v>12</v>
      </c>
      <c r="H50" s="8" t="n">
        <v>18</v>
      </c>
      <c r="I50" s="9" t="n">
        <f aca="false">H50/G50</f>
        <v>1.5</v>
      </c>
      <c r="J50" s="9" t="n">
        <f aca="false">I50*IF(A50="China",$O$2,1)</f>
        <v>1.5</v>
      </c>
      <c r="K50" s="2" t="s">
        <v>193</v>
      </c>
      <c r="L50" s="2" t="s">
        <v>161</v>
      </c>
    </row>
    <row r="51" customFormat="false" ht="15" hidden="false" customHeight="false" outlineLevel="0" collapsed="false">
      <c r="A51" s="2" t="s">
        <v>55</v>
      </c>
      <c r="B51" s="2" t="s">
        <v>24</v>
      </c>
      <c r="C51" s="2" t="s">
        <v>40</v>
      </c>
      <c r="D51" s="2" t="s">
        <v>157</v>
      </c>
      <c r="E51" s="2" t="s">
        <v>194</v>
      </c>
      <c r="F51" s="2" t="s">
        <v>58</v>
      </c>
      <c r="G51" s="7" t="n">
        <v>12</v>
      </c>
      <c r="H51" s="8" t="n">
        <v>66</v>
      </c>
      <c r="I51" s="9" t="n">
        <f aca="false">H51/G51</f>
        <v>5.5</v>
      </c>
      <c r="J51" s="9" t="n">
        <f aca="false">I51*IF(A51="China",$O$2,1)</f>
        <v>5.5</v>
      </c>
      <c r="K51" s="2" t="s">
        <v>195</v>
      </c>
      <c r="L51" s="2" t="s">
        <v>161</v>
      </c>
    </row>
    <row r="52" customFormat="false" ht="15" hidden="false" customHeight="false" outlineLevel="0" collapsed="false">
      <c r="A52" s="2" t="s">
        <v>55</v>
      </c>
      <c r="B52" s="2" t="s">
        <v>24</v>
      </c>
      <c r="C52" s="2" t="s">
        <v>40</v>
      </c>
      <c r="D52" s="2" t="s">
        <v>157</v>
      </c>
      <c r="E52" s="2" t="s">
        <v>196</v>
      </c>
      <c r="F52" s="2" t="s">
        <v>58</v>
      </c>
      <c r="G52" s="7" t="n">
        <v>1</v>
      </c>
      <c r="H52" s="8" t="n">
        <v>18</v>
      </c>
      <c r="I52" s="9" t="n">
        <f aca="false">H52/G52</f>
        <v>18</v>
      </c>
      <c r="J52" s="9" t="n">
        <f aca="false">I52*IF(A52="China",$O$2,1)</f>
        <v>18</v>
      </c>
      <c r="K52" s="2"/>
      <c r="L52" s="2" t="s">
        <v>161</v>
      </c>
    </row>
    <row r="53" customFormat="false" ht="15" hidden="false" customHeight="false" outlineLevel="0" collapsed="false">
      <c r="A53" s="2" t="s">
        <v>55</v>
      </c>
      <c r="B53" s="2" t="s">
        <v>24</v>
      </c>
      <c r="C53" s="2" t="s">
        <v>40</v>
      </c>
      <c r="D53" s="2" t="s">
        <v>157</v>
      </c>
      <c r="E53" s="2" t="s">
        <v>197</v>
      </c>
      <c r="F53" s="2" t="s">
        <v>58</v>
      </c>
      <c r="G53" s="7" t="n">
        <v>1</v>
      </c>
      <c r="H53" s="8" t="n">
        <v>20</v>
      </c>
      <c r="I53" s="9" t="n">
        <f aca="false">H53/G53</f>
        <v>20</v>
      </c>
      <c r="J53" s="9" t="n">
        <f aca="false">I53*IF(A53="China",$O$2,1)</f>
        <v>20</v>
      </c>
      <c r="K53" s="2" t="s">
        <v>198</v>
      </c>
      <c r="L53" s="2" t="s">
        <v>161</v>
      </c>
    </row>
    <row r="54" customFormat="false" ht="15" hidden="false" customHeight="false" outlineLevel="0" collapsed="false">
      <c r="A54" s="2" t="s">
        <v>55</v>
      </c>
      <c r="B54" s="2" t="s">
        <v>24</v>
      </c>
      <c r="C54" s="2" t="s">
        <v>40</v>
      </c>
      <c r="D54" s="2" t="s">
        <v>157</v>
      </c>
      <c r="E54" s="2" t="s">
        <v>199</v>
      </c>
      <c r="F54" s="2" t="s">
        <v>58</v>
      </c>
      <c r="G54" s="7" t="n">
        <v>1</v>
      </c>
      <c r="H54" s="8" t="n">
        <v>60</v>
      </c>
      <c r="I54" s="9" t="n">
        <f aca="false">H54/G54</f>
        <v>60</v>
      </c>
      <c r="J54" s="9" t="n">
        <f aca="false">I54*IF(A54="China",$O$2,1)</f>
        <v>60</v>
      </c>
      <c r="K54" s="2"/>
      <c r="L54" s="2" t="s">
        <v>161</v>
      </c>
    </row>
    <row r="55" customFormat="false" ht="15" hidden="false" customHeight="false" outlineLevel="0" collapsed="false">
      <c r="A55" s="2" t="s">
        <v>55</v>
      </c>
      <c r="B55" s="2" t="s">
        <v>24</v>
      </c>
      <c r="C55" s="2" t="s">
        <v>36</v>
      </c>
      <c r="D55" s="2" t="s">
        <v>157</v>
      </c>
      <c r="E55" s="2" t="s">
        <v>200</v>
      </c>
      <c r="F55" s="2" t="s">
        <v>58</v>
      </c>
      <c r="G55" s="7" t="n">
        <v>12</v>
      </c>
      <c r="H55" s="8" t="n">
        <v>24</v>
      </c>
      <c r="I55" s="9" t="n">
        <f aca="false">H55/G55</f>
        <v>2</v>
      </c>
      <c r="J55" s="9" t="n">
        <f aca="false">I55*IF(A55="China",$O$2,1)</f>
        <v>2</v>
      </c>
      <c r="K55" s="2" t="s">
        <v>201</v>
      </c>
      <c r="L55" s="2" t="s">
        <v>161</v>
      </c>
    </row>
    <row r="56" customFormat="false" ht="15" hidden="false" customHeight="false" outlineLevel="0" collapsed="false">
      <c r="A56" s="2" t="s">
        <v>55</v>
      </c>
      <c r="B56" s="2" t="s">
        <v>24</v>
      </c>
      <c r="C56" s="2" t="s">
        <v>25</v>
      </c>
      <c r="D56" s="2" t="s">
        <v>202</v>
      </c>
      <c r="E56" s="2" t="s">
        <v>203</v>
      </c>
      <c r="F56" s="2" t="s">
        <v>204</v>
      </c>
      <c r="G56" s="7" t="n">
        <v>24</v>
      </c>
      <c r="H56" s="8" t="n">
        <v>8.9</v>
      </c>
      <c r="I56" s="9" t="n">
        <f aca="false">H56/G56</f>
        <v>0.370833333333333</v>
      </c>
      <c r="J56" s="9" t="n">
        <f aca="false">I56*IF(A56="China",$O$2,1)</f>
        <v>0.370833333333333</v>
      </c>
      <c r="K56" s="2" t="s">
        <v>205</v>
      </c>
      <c r="L56" s="2" t="s">
        <v>206</v>
      </c>
    </row>
    <row r="57" customFormat="false" ht="15" hidden="false" customHeight="false" outlineLevel="0" collapsed="false">
      <c r="A57" s="2" t="s">
        <v>55</v>
      </c>
      <c r="B57" s="2" t="s">
        <v>24</v>
      </c>
      <c r="C57" s="2" t="s">
        <v>22</v>
      </c>
      <c r="D57" s="2" t="s">
        <v>202</v>
      </c>
      <c r="E57" s="2" t="s">
        <v>207</v>
      </c>
      <c r="F57" s="2" t="s">
        <v>58</v>
      </c>
      <c r="G57" s="7" t="n">
        <v>12</v>
      </c>
      <c r="H57" s="8" t="n">
        <v>15.26</v>
      </c>
      <c r="I57" s="9" t="n">
        <f aca="false">H57/G57</f>
        <v>1.27166666666667</v>
      </c>
      <c r="J57" s="9" t="n">
        <f aca="false">I57*IF(A57="China",$O$2,1)</f>
        <v>1.27166666666667</v>
      </c>
      <c r="K57" s="2" t="s">
        <v>208</v>
      </c>
      <c r="L57" s="2" t="s">
        <v>206</v>
      </c>
    </row>
    <row r="58" customFormat="false" ht="15" hidden="false" customHeight="false" outlineLevel="0" collapsed="false">
      <c r="A58" s="2" t="s">
        <v>55</v>
      </c>
      <c r="B58" s="2" t="s">
        <v>24</v>
      </c>
      <c r="C58" s="2" t="s">
        <v>22</v>
      </c>
      <c r="D58" s="2" t="s">
        <v>202</v>
      </c>
      <c r="E58" s="2" t="s">
        <v>209</v>
      </c>
      <c r="F58" s="2" t="s">
        <v>58</v>
      </c>
      <c r="G58" s="7" t="n">
        <v>12</v>
      </c>
      <c r="H58" s="8" t="n">
        <v>16.8</v>
      </c>
      <c r="I58" s="9" t="n">
        <f aca="false">H58/G58</f>
        <v>1.4</v>
      </c>
      <c r="J58" s="9" t="n">
        <f aca="false">I58*IF(A58="China",$O$2,1)</f>
        <v>1.4</v>
      </c>
      <c r="K58" s="2" t="s">
        <v>210</v>
      </c>
      <c r="L58" s="2" t="s">
        <v>211</v>
      </c>
    </row>
    <row r="59" customFormat="false" ht="15" hidden="false" customHeight="false" outlineLevel="0" collapsed="false">
      <c r="A59" s="2" t="s">
        <v>55</v>
      </c>
      <c r="B59" s="2" t="s">
        <v>24</v>
      </c>
      <c r="C59" s="2" t="s">
        <v>22</v>
      </c>
      <c r="D59" s="2" t="s">
        <v>202</v>
      </c>
      <c r="E59" s="2" t="s">
        <v>212</v>
      </c>
      <c r="F59" s="2" t="s">
        <v>213</v>
      </c>
      <c r="G59" s="7" t="n">
        <v>1</v>
      </c>
      <c r="H59" s="8" t="n">
        <v>3.96</v>
      </c>
      <c r="I59" s="9" t="n">
        <f aca="false">H59/G59</f>
        <v>3.96</v>
      </c>
      <c r="J59" s="9" t="n">
        <f aca="false">I59*IF(A59="China",$O$2,1)</f>
        <v>3.96</v>
      </c>
      <c r="K59" s="2" t="s">
        <v>214</v>
      </c>
      <c r="L59" s="2" t="s">
        <v>211</v>
      </c>
    </row>
    <row r="60" customFormat="false" ht="15" hidden="false" customHeight="false" outlineLevel="0" collapsed="false">
      <c r="A60" s="2" t="s">
        <v>55</v>
      </c>
      <c r="B60" s="2" t="s">
        <v>11</v>
      </c>
      <c r="C60" s="2" t="s">
        <v>22</v>
      </c>
      <c r="D60" s="2" t="s">
        <v>202</v>
      </c>
      <c r="E60" s="2" t="s">
        <v>215</v>
      </c>
      <c r="F60" s="2" t="s">
        <v>216</v>
      </c>
      <c r="G60" s="7" t="n">
        <v>12</v>
      </c>
      <c r="H60" s="8" t="n">
        <v>18.5</v>
      </c>
      <c r="I60" s="9" t="n">
        <f aca="false">H60/G60</f>
        <v>1.54166666666667</v>
      </c>
      <c r="J60" s="9" t="n">
        <f aca="false">I60*IF(A60="China",$O$2,1)</f>
        <v>1.54166666666667</v>
      </c>
      <c r="K60" s="2" t="s">
        <v>210</v>
      </c>
      <c r="L60" s="2" t="s">
        <v>211</v>
      </c>
    </row>
    <row r="61" customFormat="false" ht="15" hidden="false" customHeight="false" outlineLevel="0" collapsed="false">
      <c r="A61" s="2" t="s">
        <v>55</v>
      </c>
      <c r="B61" s="2" t="s">
        <v>11</v>
      </c>
      <c r="C61" s="2" t="s">
        <v>22</v>
      </c>
      <c r="D61" s="2" t="s">
        <v>202</v>
      </c>
      <c r="E61" s="2" t="s">
        <v>217</v>
      </c>
      <c r="F61" s="2" t="s">
        <v>218</v>
      </c>
      <c r="G61" s="7" t="n">
        <v>1</v>
      </c>
      <c r="H61" s="8" t="n">
        <v>4.2</v>
      </c>
      <c r="I61" s="9" t="n">
        <f aca="false">H61/G61</f>
        <v>4.2</v>
      </c>
      <c r="J61" s="9" t="n">
        <f aca="false">I61*IF(A61="China",$O$2,1)</f>
        <v>4.2</v>
      </c>
      <c r="K61" s="2" t="s">
        <v>219</v>
      </c>
      <c r="L61" s="2" t="s">
        <v>211</v>
      </c>
    </row>
    <row r="62" customFormat="false" ht="15" hidden="false" customHeight="false" outlineLevel="0" collapsed="false">
      <c r="A62" s="2" t="s">
        <v>55</v>
      </c>
      <c r="B62" s="2" t="s">
        <v>24</v>
      </c>
      <c r="C62" s="2" t="s">
        <v>38</v>
      </c>
      <c r="D62" s="2" t="s">
        <v>202</v>
      </c>
      <c r="E62" s="2" t="s">
        <v>220</v>
      </c>
      <c r="F62" s="2" t="s">
        <v>58</v>
      </c>
      <c r="G62" s="7" t="n">
        <v>1</v>
      </c>
      <c r="H62" s="8" t="n">
        <v>5.34</v>
      </c>
      <c r="I62" s="9" t="n">
        <f aca="false">H62/G62</f>
        <v>5.34</v>
      </c>
      <c r="J62" s="9" t="n">
        <f aca="false">I62*IF(A62="China",$O$2,1)</f>
        <v>5.34</v>
      </c>
      <c r="K62" s="2"/>
      <c r="L62" s="2" t="s">
        <v>206</v>
      </c>
    </row>
  </sheetData>
  <autoFilter ref="A1:L62"/>
  <hyperlinks>
    <hyperlink ref="L2" r:id="rId1" display="https://www.maquiagematacado.com.br/cilios-posticos"/>
    <hyperlink ref="L3" r:id="rId2" display="https://www.distribuidorajcf.com.br/cilios-posticos"/>
    <hyperlink ref="L4" r:id="rId3" display="https://www.zaxapp.com.br/beleza/olhos-atacado/cilios-posticos-olhos-atacado"/>
    <hyperlink ref="L5" r:id="rId4" display="https://www.zaxapp.com.br/beleza/olhos-atacado/cilios-posticos-olhos-atacado"/>
    <hyperlink ref="L6" r:id="rId5" display="https://www.zaxapp.com.br/beleza/olhos-atacado/cilios-posticos-olhos-atacado"/>
    <hyperlink ref="L7" r:id="rId6" display="https://www.maquiagematacado.com.br/cilios-posticos"/>
    <hyperlink ref="L8" r:id="rId7" display="https://www.distribuidorajcf.com.br/cilios-posticos"/>
    <hyperlink ref="L9" r:id="rId8" display="https://www.distribuidorajcf.com.br/cilios-posticos"/>
    <hyperlink ref="L10" r:id="rId9" display="https://www.distribuidorajcf.com.br/cilios-posticos"/>
    <hyperlink ref="L11" r:id="rId10" display="https://www.maquiagematacado.com.br/cilios-posticos"/>
    <hyperlink ref="L12" r:id="rId11" display="https://mercadocilios.com.br/"/>
    <hyperlink ref="L13" r:id="rId12" display="https://mercadocilios.com.br/"/>
    <hyperlink ref="L14" r:id="rId13" display="https://mercadocilios.com.br/"/>
    <hyperlink ref="L15" r:id="rId14" display="https://www.maquiagematacado.com.br/cilios-posticos"/>
    <hyperlink ref="L16" r:id="rId15" display="https://www.distribuidorajcf.com.br/cilios-posticos"/>
    <hyperlink ref="L17" r:id="rId16" display="https://www.distribuidorajcf.com.br/cilios-posticos"/>
    <hyperlink ref="L18" r:id="rId17" display="https://www.zaxapp.com.br/beleza/unhas-atacado"/>
    <hyperlink ref="L19" r:id="rId18" display="https://www.zaxapp.com.br/beleza/unhas-atacado"/>
    <hyperlink ref="L20" r:id="rId19" display="https://www.zaxapp.com.br/beleza/unhas-atacado"/>
    <hyperlink ref="L21" r:id="rId20" display="https://www.distribuidorajcf.com.br/maos-pes"/>
    <hyperlink ref="L22" r:id="rId21" display="https://www.distribuidorajcf.com.br/maos-pes"/>
    <hyperlink ref="L23" r:id="rId22" display="https://www.zaxapp.com.br/beleza/unhas-atacado"/>
    <hyperlink ref="L24" r:id="rId23" display="https://www.zaxapp.com.br/beleza/unhas-atacado"/>
    <hyperlink ref="L25" r:id="rId24" display="https://www.alibaba.com/trade/search?SearchText=yy+lashes+extension+tray"/>
    <hyperlink ref="L26" r:id="rId25" display="https://www.alibaba.com/trade/search?SearchText=yy+lashes+extension+tray"/>
    <hyperlink ref="L27" r:id="rId26" display="https://www.alibaba.com/trade/search?SearchText=yy+lashes+extension+tray"/>
    <hyperlink ref="L28" r:id="rId27" display="https://www.alibaba.com/trade/search?SearchText=diy+cluster+lashes+box+wholesale"/>
    <hyperlink ref="L29" r:id="rId28" display="https://www.alibaba.com/trade/search?SearchText=diy+cluster+lashes+box+wholesale"/>
    <hyperlink ref="L30" r:id="rId29" display="https://www.alibaba.com/trade/search?SearchText=press+on+nails+24pcs+box+wholesale"/>
    <hyperlink ref="L31" r:id="rId30" display="https://www.alibaba.com/trade/search?SearchText=press+on+nails+24pcs+box+wholesale"/>
    <hyperlink ref="L32" r:id="rId31" display="https://www.alibaba.com/trade/search?SearchText=press+on+nails+24pcs+box+wholesale"/>
    <hyperlink ref="L33" r:id="rId32" display="https://www.alibaba.com/trade/search?SearchText=uv+gel+nail+polish+15ml+wholesale"/>
    <hyperlink ref="L34" r:id="rId33" display="https://www.alibaba.com/trade/search?SearchText=uv+gel+nail+polish+15ml+wholesa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3" min="13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46</v>
      </c>
      <c r="D1" s="1" t="s">
        <v>221</v>
      </c>
      <c r="E1" s="1" t="s">
        <v>222</v>
      </c>
      <c r="F1" s="1" t="s">
        <v>49</v>
      </c>
      <c r="G1" s="1" t="s">
        <v>52</v>
      </c>
      <c r="H1" s="1" t="s">
        <v>50</v>
      </c>
      <c r="I1" s="1" t="s">
        <v>223</v>
      </c>
      <c r="J1" s="1" t="s">
        <v>224</v>
      </c>
      <c r="K1" s="1" t="s">
        <v>225</v>
      </c>
      <c r="M1" s="6" t="s">
        <v>226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227</v>
      </c>
      <c r="D2" s="2" t="s">
        <v>228</v>
      </c>
      <c r="E2" s="7" t="n">
        <v>10</v>
      </c>
      <c r="F2" s="8" t="n">
        <v>110</v>
      </c>
      <c r="G2" s="2" t="s">
        <v>229</v>
      </c>
      <c r="H2" s="8" t="n">
        <v>11</v>
      </c>
      <c r="I2" s="9" t="n">
        <f aca="false">H2*(1-$N$2)</f>
        <v>10.12</v>
      </c>
      <c r="J2" s="12"/>
      <c r="K2" s="13" t="str">
        <f aca="false">IF(N(J2)=0,"",(J2-I2)/J2)</f>
        <v/>
      </c>
      <c r="M2" s="2" t="s">
        <v>230</v>
      </c>
      <c r="N2" s="14" t="n">
        <v>0.08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231</v>
      </c>
      <c r="D3" s="2" t="s">
        <v>232</v>
      </c>
      <c r="E3" s="7" t="n">
        <v>10</v>
      </c>
      <c r="F3" s="8" t="n">
        <v>120</v>
      </c>
      <c r="G3" s="2"/>
      <c r="H3" s="8" t="n">
        <v>12</v>
      </c>
      <c r="I3" s="9" t="n">
        <f aca="false">H3*(1-$N$2)</f>
        <v>11.04</v>
      </c>
      <c r="J3" s="12"/>
      <c r="K3" s="13" t="str">
        <f aca="false">IF(N(J3)=0,"",(J3-I3)/J3)</f>
        <v/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233</v>
      </c>
      <c r="D4" s="2" t="s">
        <v>234</v>
      </c>
      <c r="E4" s="7" t="n">
        <v>10</v>
      </c>
      <c r="F4" s="8" t="n">
        <v>140</v>
      </c>
      <c r="G4" s="2"/>
      <c r="H4" s="8" t="n">
        <v>14</v>
      </c>
      <c r="I4" s="9" t="n">
        <f aca="false">H4*(1-$N$2)</f>
        <v>12.88</v>
      </c>
      <c r="J4" s="12"/>
      <c r="K4" s="13" t="str">
        <f aca="false">IF(N(J4)=0,"",(J4-I4)/J4)</f>
        <v/>
      </c>
      <c r="M4" s="5" t="s">
        <v>235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236</v>
      </c>
      <c r="D5" s="2" t="s">
        <v>237</v>
      </c>
      <c r="E5" s="7" t="n">
        <v>10</v>
      </c>
      <c r="F5" s="8" t="n">
        <v>150</v>
      </c>
      <c r="G5" s="2"/>
      <c r="H5" s="8" t="n">
        <v>15</v>
      </c>
      <c r="I5" s="9" t="n">
        <f aca="false">H5*(1-$N$2)</f>
        <v>13.8</v>
      </c>
      <c r="J5" s="12"/>
      <c r="K5" s="13" t="str">
        <f aca="false">IF(N(J5)=0,"",(J5-I5)/J5)</f>
        <v/>
      </c>
      <c r="M5" s="5" t="s">
        <v>238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s">
        <v>239</v>
      </c>
      <c r="D6" s="2" t="s">
        <v>240</v>
      </c>
      <c r="E6" s="7" t="n">
        <v>10</v>
      </c>
      <c r="F6" s="8" t="n">
        <v>180</v>
      </c>
      <c r="G6" s="2"/>
      <c r="H6" s="8" t="n">
        <v>18</v>
      </c>
      <c r="I6" s="9" t="n">
        <f aca="false">H6*(1-$N$2)</f>
        <v>16.56</v>
      </c>
      <c r="J6" s="12"/>
      <c r="K6" s="13" t="str">
        <f aca="false">IF(N(J6)=0,"",(J6-I6)/J6)</f>
        <v/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241</v>
      </c>
      <c r="D7" s="2" t="s">
        <v>242</v>
      </c>
      <c r="E7" s="7" t="n">
        <v>10</v>
      </c>
      <c r="F7" s="8" t="n">
        <v>190</v>
      </c>
      <c r="G7" s="2" t="s">
        <v>243</v>
      </c>
      <c r="H7" s="8" t="n">
        <v>19</v>
      </c>
      <c r="I7" s="9" t="n">
        <f aca="false">H7*(1-$N$2)</f>
        <v>17.48</v>
      </c>
      <c r="J7" s="12"/>
      <c r="K7" s="13" t="str">
        <f aca="false">IF(N(J7)=0,"",(J7-I7)/J7)</f>
        <v/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244</v>
      </c>
      <c r="D8" s="2" t="s">
        <v>245</v>
      </c>
      <c r="E8" s="7" t="n">
        <v>10</v>
      </c>
      <c r="F8" s="8" t="n">
        <v>200</v>
      </c>
      <c r="G8" s="2"/>
      <c r="H8" s="8" t="n">
        <v>20</v>
      </c>
      <c r="I8" s="9" t="n">
        <f aca="false">H8*(1-$N$2)</f>
        <v>18.4</v>
      </c>
      <c r="J8" s="12"/>
      <c r="K8" s="13" t="str">
        <f aca="false">IF(N(J8)=0,"",(J8-I8)/J8)</f>
        <v/>
      </c>
    </row>
    <row r="9" customFormat="false" ht="15" hidden="false" customHeight="false" outlineLevel="0" collapsed="false">
      <c r="A9" s="2" t="s">
        <v>11</v>
      </c>
      <c r="B9" s="2" t="s">
        <v>12</v>
      </c>
      <c r="C9" s="2" t="s">
        <v>246</v>
      </c>
      <c r="D9" s="2" t="s">
        <v>247</v>
      </c>
      <c r="E9" s="7" t="n">
        <v>10</v>
      </c>
      <c r="F9" s="8" t="n">
        <v>200</v>
      </c>
      <c r="G9" s="2"/>
      <c r="H9" s="8" t="n">
        <v>20</v>
      </c>
      <c r="I9" s="9" t="n">
        <f aca="false">H9*(1-$N$2)</f>
        <v>18.4</v>
      </c>
      <c r="J9" s="12"/>
      <c r="K9" s="13" t="str">
        <f aca="false">IF(N(J9)=0,"",(J9-I9)/J9)</f>
        <v/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248</v>
      </c>
      <c r="D10" s="2" t="s">
        <v>249</v>
      </c>
      <c r="E10" s="7" t="n">
        <v>10</v>
      </c>
      <c r="F10" s="8" t="n">
        <v>220</v>
      </c>
      <c r="G10" s="2"/>
      <c r="H10" s="8" t="n">
        <v>22</v>
      </c>
      <c r="I10" s="9" t="n">
        <f aca="false">H10*(1-$N$2)</f>
        <v>20.24</v>
      </c>
      <c r="J10" s="12"/>
      <c r="K10" s="13" t="str">
        <f aca="false">IF(N(J10)=0,"",(J10-I10)/J10)</f>
        <v/>
      </c>
    </row>
    <row r="11" customFormat="false" ht="15" hidden="false" customHeight="false" outlineLevel="0" collapsed="false">
      <c r="A11" s="2" t="s">
        <v>11</v>
      </c>
      <c r="B11" s="2" t="s">
        <v>12</v>
      </c>
      <c r="C11" s="2" t="s">
        <v>250</v>
      </c>
      <c r="D11" s="2" t="s">
        <v>251</v>
      </c>
      <c r="E11" s="7" t="n">
        <v>10</v>
      </c>
      <c r="F11" s="8" t="n">
        <v>120</v>
      </c>
      <c r="G11" s="2"/>
      <c r="H11" s="8" t="n">
        <v>12</v>
      </c>
      <c r="I11" s="9" t="n">
        <f aca="false">H11*(1-$N$2)</f>
        <v>11.04</v>
      </c>
      <c r="J11" s="12"/>
      <c r="K11" s="13" t="str">
        <f aca="false">IF(N(J11)=0,"",(J11-I11)/J11)</f>
        <v/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s">
        <v>252</v>
      </c>
      <c r="D12" s="2" t="s">
        <v>253</v>
      </c>
      <c r="E12" s="7" t="n">
        <v>10</v>
      </c>
      <c r="F12" s="8" t="n">
        <v>165</v>
      </c>
      <c r="G12" s="2"/>
      <c r="H12" s="8" t="n">
        <v>16.5</v>
      </c>
      <c r="I12" s="9" t="n">
        <f aca="false">H12*(1-$N$2)</f>
        <v>15.18</v>
      </c>
      <c r="J12" s="12"/>
      <c r="K12" s="13" t="str">
        <f aca="false">IF(N(J12)=0,"",(J12-I12)/J12)</f>
        <v/>
      </c>
    </row>
    <row r="13" customFormat="false" ht="15" hidden="false" customHeight="false" outlineLevel="0" collapsed="false">
      <c r="A13" s="2" t="s">
        <v>11</v>
      </c>
      <c r="B13" s="2" t="s">
        <v>12</v>
      </c>
      <c r="C13" s="2" t="s">
        <v>254</v>
      </c>
      <c r="D13" s="2" t="s">
        <v>255</v>
      </c>
      <c r="E13" s="7" t="n">
        <v>10</v>
      </c>
      <c r="F13" s="8" t="n">
        <v>200</v>
      </c>
      <c r="G13" s="2" t="s">
        <v>256</v>
      </c>
      <c r="H13" s="8" t="n">
        <v>20</v>
      </c>
      <c r="I13" s="9" t="n">
        <f aca="false">H13*(1-$N$2)</f>
        <v>18.4</v>
      </c>
      <c r="J13" s="12"/>
      <c r="K13" s="13" t="str">
        <f aca="false">IF(N(J13)=0,"",(J13-I13)/J13)</f>
        <v/>
      </c>
    </row>
    <row r="14" customFormat="false" ht="15" hidden="false" customHeight="false" outlineLevel="0" collapsed="false">
      <c r="A14" s="2" t="s">
        <v>11</v>
      </c>
      <c r="B14" s="2" t="s">
        <v>12</v>
      </c>
      <c r="C14" s="2" t="s">
        <v>257</v>
      </c>
      <c r="D14" s="2" t="s">
        <v>258</v>
      </c>
      <c r="E14" s="7" t="n">
        <v>10</v>
      </c>
      <c r="F14" s="8" t="n">
        <v>180</v>
      </c>
      <c r="G14" s="2"/>
      <c r="H14" s="8" t="n">
        <v>18</v>
      </c>
      <c r="I14" s="9" t="n">
        <f aca="false">H14*(1-$N$2)</f>
        <v>16.56</v>
      </c>
      <c r="J14" s="12"/>
      <c r="K14" s="13" t="str">
        <f aca="false">IF(N(J14)=0,"",(J14-I14)/J14)</f>
        <v/>
      </c>
    </row>
    <row r="15" customFormat="false" ht="15" hidden="false" customHeight="false" outlineLevel="0" collapsed="false">
      <c r="A15" s="2" t="s">
        <v>11</v>
      </c>
      <c r="B15" s="2" t="s">
        <v>14</v>
      </c>
      <c r="C15" s="2" t="s">
        <v>259</v>
      </c>
      <c r="D15" s="2" t="s">
        <v>260</v>
      </c>
      <c r="E15" s="7" t="n">
        <v>12</v>
      </c>
      <c r="F15" s="8" t="n">
        <v>12</v>
      </c>
      <c r="G15" s="2" t="s">
        <v>261</v>
      </c>
      <c r="H15" s="8" t="n">
        <v>1</v>
      </c>
      <c r="I15" s="9" t="n">
        <f aca="false">H15*(1-$N$2)</f>
        <v>0.92</v>
      </c>
      <c r="J15" s="12"/>
      <c r="K15" s="13" t="str">
        <f aca="false">IF(N(J15)=0,"",(J15-I15)/J15)</f>
        <v/>
      </c>
    </row>
    <row r="16" customFormat="false" ht="15" hidden="false" customHeight="false" outlineLevel="0" collapsed="false">
      <c r="A16" s="2" t="s">
        <v>11</v>
      </c>
      <c r="B16" s="2" t="s">
        <v>14</v>
      </c>
      <c r="C16" s="2" t="s">
        <v>262</v>
      </c>
      <c r="D16" s="2" t="s">
        <v>263</v>
      </c>
      <c r="E16" s="7" t="n">
        <v>10</v>
      </c>
      <c r="F16" s="8" t="n">
        <v>36</v>
      </c>
      <c r="G16" s="2"/>
      <c r="H16" s="8" t="n">
        <v>3.6</v>
      </c>
      <c r="I16" s="9" t="n">
        <f aca="false">H16*(1-$N$2)</f>
        <v>3.312</v>
      </c>
      <c r="J16" s="12"/>
      <c r="K16" s="13" t="str">
        <f aca="false">IF(N(J16)=0,"",(J16-I16)/J16)</f>
        <v/>
      </c>
    </row>
    <row r="17" customFormat="false" ht="15" hidden="false" customHeight="false" outlineLevel="0" collapsed="false">
      <c r="A17" s="2" t="s">
        <v>11</v>
      </c>
      <c r="B17" s="2" t="s">
        <v>14</v>
      </c>
      <c r="C17" s="2" t="s">
        <v>264</v>
      </c>
      <c r="D17" s="2" t="s">
        <v>265</v>
      </c>
      <c r="E17" s="7" t="n">
        <v>10</v>
      </c>
      <c r="F17" s="8" t="n">
        <v>42</v>
      </c>
      <c r="G17" s="2"/>
      <c r="H17" s="8" t="n">
        <v>4.2</v>
      </c>
      <c r="I17" s="9" t="n">
        <f aca="false">H17*(1-$N$2)</f>
        <v>3.864</v>
      </c>
      <c r="J17" s="12"/>
      <c r="K17" s="13" t="str">
        <f aca="false">IF(N(J17)=0,"",(J17-I17)/J17)</f>
        <v/>
      </c>
    </row>
    <row r="18" customFormat="false" ht="15" hidden="false" customHeight="false" outlineLevel="0" collapsed="false">
      <c r="A18" s="2" t="s">
        <v>11</v>
      </c>
      <c r="B18" s="2" t="s">
        <v>14</v>
      </c>
      <c r="C18" s="2" t="s">
        <v>266</v>
      </c>
      <c r="D18" s="2" t="s">
        <v>267</v>
      </c>
      <c r="E18" s="7" t="n">
        <v>10</v>
      </c>
      <c r="F18" s="8" t="n">
        <v>45</v>
      </c>
      <c r="G18" s="2"/>
      <c r="H18" s="8" t="n">
        <v>4.5</v>
      </c>
      <c r="I18" s="9" t="n">
        <f aca="false">H18*(1-$N$2)</f>
        <v>4.14</v>
      </c>
      <c r="J18" s="12"/>
      <c r="K18" s="13" t="str">
        <f aca="false">IF(N(J18)=0,"",(J18-I18)/J18)</f>
        <v/>
      </c>
    </row>
    <row r="19" customFormat="false" ht="15" hidden="false" customHeight="false" outlineLevel="0" collapsed="false">
      <c r="A19" s="2" t="s">
        <v>11</v>
      </c>
      <c r="B19" s="2" t="s">
        <v>14</v>
      </c>
      <c r="C19" s="2" t="s">
        <v>268</v>
      </c>
      <c r="D19" s="2" t="s">
        <v>269</v>
      </c>
      <c r="E19" s="7" t="n">
        <v>12</v>
      </c>
      <c r="F19" s="8" t="n">
        <v>54</v>
      </c>
      <c r="G19" s="2" t="s">
        <v>270</v>
      </c>
      <c r="H19" s="8" t="n">
        <v>4.5</v>
      </c>
      <c r="I19" s="9" t="n">
        <f aca="false">H19*(1-$N$2)</f>
        <v>4.14</v>
      </c>
      <c r="J19" s="12"/>
      <c r="K19" s="13" t="str">
        <f aca="false">IF(N(J19)=0,"",(J19-I19)/J19)</f>
        <v/>
      </c>
    </row>
    <row r="20" customFormat="false" ht="15" hidden="false" customHeight="false" outlineLevel="0" collapsed="false">
      <c r="A20" s="2" t="s">
        <v>11</v>
      </c>
      <c r="B20" s="2" t="s">
        <v>14</v>
      </c>
      <c r="C20" s="2" t="s">
        <v>271</v>
      </c>
      <c r="D20" s="2" t="s">
        <v>272</v>
      </c>
      <c r="E20" s="7" t="n">
        <v>10</v>
      </c>
      <c r="F20" s="8" t="n">
        <v>50</v>
      </c>
      <c r="G20" s="2"/>
      <c r="H20" s="8" t="n">
        <v>5</v>
      </c>
      <c r="I20" s="9" t="n">
        <f aca="false">H20*(1-$N$2)</f>
        <v>4.6</v>
      </c>
      <c r="J20" s="12"/>
      <c r="K20" s="13" t="str">
        <f aca="false">IF(N(J20)=0,"",(J20-I20)/J20)</f>
        <v/>
      </c>
    </row>
    <row r="21" customFormat="false" ht="15" hidden="false" customHeight="false" outlineLevel="0" collapsed="false">
      <c r="A21" s="2" t="s">
        <v>11</v>
      </c>
      <c r="B21" s="2" t="s">
        <v>14</v>
      </c>
      <c r="C21" s="2" t="s">
        <v>266</v>
      </c>
      <c r="D21" s="2" t="s">
        <v>273</v>
      </c>
      <c r="E21" s="7" t="n">
        <v>12</v>
      </c>
      <c r="F21" s="8" t="n">
        <v>60</v>
      </c>
      <c r="G21" s="2"/>
      <c r="H21" s="8" t="n">
        <v>5</v>
      </c>
      <c r="I21" s="9" t="n">
        <f aca="false">H21*(1-$N$2)</f>
        <v>4.6</v>
      </c>
      <c r="J21" s="12"/>
      <c r="K21" s="13" t="str">
        <f aca="false">IF(N(J21)=0,"",(J21-I21)/J21)</f>
        <v/>
      </c>
    </row>
    <row r="22" customFormat="false" ht="15" hidden="false" customHeight="false" outlineLevel="0" collapsed="false">
      <c r="A22" s="2" t="s">
        <v>11</v>
      </c>
      <c r="B22" s="2" t="s">
        <v>14</v>
      </c>
      <c r="C22" s="2" t="s">
        <v>266</v>
      </c>
      <c r="D22" s="2" t="s">
        <v>274</v>
      </c>
      <c r="E22" s="7" t="n">
        <v>10</v>
      </c>
      <c r="F22" s="8" t="n">
        <v>55</v>
      </c>
      <c r="G22" s="2"/>
      <c r="H22" s="8" t="n">
        <v>5.5</v>
      </c>
      <c r="I22" s="9" t="n">
        <f aca="false">H22*(1-$N$2)</f>
        <v>5.06</v>
      </c>
      <c r="J22" s="12"/>
      <c r="K22" s="13" t="str">
        <f aca="false">IF(N(J22)=0,"",(J22-I22)/J22)</f>
        <v/>
      </c>
    </row>
    <row r="23" customFormat="false" ht="15" hidden="false" customHeight="false" outlineLevel="0" collapsed="false">
      <c r="A23" s="2" t="s">
        <v>11</v>
      </c>
      <c r="B23" s="2" t="s">
        <v>14</v>
      </c>
      <c r="C23" s="2" t="s">
        <v>275</v>
      </c>
      <c r="D23" s="2" t="s">
        <v>276</v>
      </c>
      <c r="E23" s="7" t="n">
        <v>12</v>
      </c>
      <c r="F23" s="8" t="n">
        <v>66</v>
      </c>
      <c r="G23" s="2"/>
      <c r="H23" s="8" t="n">
        <v>5.5</v>
      </c>
      <c r="I23" s="9" t="n">
        <f aca="false">H23*(1-$N$2)</f>
        <v>5.06</v>
      </c>
      <c r="J23" s="12"/>
      <c r="K23" s="13" t="str">
        <f aca="false">IF(N(J23)=0,"",(J23-I23)/J23)</f>
        <v/>
      </c>
    </row>
    <row r="24" customFormat="false" ht="15" hidden="false" customHeight="false" outlineLevel="0" collapsed="false">
      <c r="A24" s="2" t="s">
        <v>11</v>
      </c>
      <c r="B24" s="2" t="s">
        <v>14</v>
      </c>
      <c r="C24" s="2" t="s">
        <v>275</v>
      </c>
      <c r="D24" s="2" t="s">
        <v>277</v>
      </c>
      <c r="E24" s="7" t="n">
        <v>12</v>
      </c>
      <c r="F24" s="8" t="n">
        <v>72</v>
      </c>
      <c r="G24" s="2"/>
      <c r="H24" s="8" t="n">
        <v>6</v>
      </c>
      <c r="I24" s="9" t="n">
        <f aca="false">H24*(1-$N$2)</f>
        <v>5.52</v>
      </c>
      <c r="J24" s="12"/>
      <c r="K24" s="13" t="str">
        <f aca="false">IF(N(J24)=0,"",(J24-I24)/J24)</f>
        <v/>
      </c>
    </row>
    <row r="25" customFormat="false" ht="15" hidden="false" customHeight="false" outlineLevel="0" collapsed="false">
      <c r="A25" s="2" t="s">
        <v>11</v>
      </c>
      <c r="B25" s="2" t="s">
        <v>14</v>
      </c>
      <c r="C25" s="2" t="s">
        <v>278</v>
      </c>
      <c r="D25" s="2" t="s">
        <v>279</v>
      </c>
      <c r="E25" s="7" t="n">
        <v>12</v>
      </c>
      <c r="F25" s="8" t="n">
        <v>78</v>
      </c>
      <c r="G25" s="2"/>
      <c r="H25" s="8" t="n">
        <v>6.5</v>
      </c>
      <c r="I25" s="9" t="n">
        <f aca="false">H25*(1-$N$2)</f>
        <v>5.98</v>
      </c>
      <c r="J25" s="12"/>
      <c r="K25" s="13" t="str">
        <f aca="false">IF(N(J25)=0,"",(J25-I25)/J25)</f>
        <v/>
      </c>
    </row>
    <row r="26" customFormat="false" ht="15" hidden="false" customHeight="false" outlineLevel="0" collapsed="false">
      <c r="A26" s="2" t="s">
        <v>11</v>
      </c>
      <c r="B26" s="2" t="s">
        <v>14</v>
      </c>
      <c r="C26" s="2" t="s">
        <v>280</v>
      </c>
      <c r="D26" s="2" t="s">
        <v>281</v>
      </c>
      <c r="E26" s="7" t="n">
        <v>10</v>
      </c>
      <c r="F26" s="8" t="n">
        <v>72</v>
      </c>
      <c r="G26" s="2"/>
      <c r="H26" s="8" t="n">
        <v>7.2</v>
      </c>
      <c r="I26" s="9" t="n">
        <f aca="false">H26*(1-$N$2)</f>
        <v>6.624</v>
      </c>
      <c r="J26" s="12"/>
      <c r="K26" s="13" t="str">
        <f aca="false">IF(N(J26)=0,"",(J26-I26)/J26)</f>
        <v/>
      </c>
    </row>
    <row r="27" customFormat="false" ht="15" hidden="false" customHeight="false" outlineLevel="0" collapsed="false">
      <c r="A27" s="2" t="s">
        <v>11</v>
      </c>
      <c r="B27" s="2" t="s">
        <v>14</v>
      </c>
      <c r="C27" s="2" t="s">
        <v>282</v>
      </c>
      <c r="D27" s="2" t="s">
        <v>283</v>
      </c>
      <c r="E27" s="7" t="n">
        <v>12</v>
      </c>
      <c r="F27" s="8" t="n">
        <v>96</v>
      </c>
      <c r="G27" s="2"/>
      <c r="H27" s="8" t="n">
        <v>8</v>
      </c>
      <c r="I27" s="9" t="n">
        <f aca="false">H27*(1-$N$2)</f>
        <v>7.36</v>
      </c>
      <c r="J27" s="12"/>
      <c r="K27" s="13" t="str">
        <f aca="false">IF(N(J27)=0,"",(J27-I27)/J27)</f>
        <v/>
      </c>
    </row>
    <row r="28" customFormat="false" ht="15" hidden="false" customHeight="false" outlineLevel="0" collapsed="false">
      <c r="A28" s="2" t="s">
        <v>11</v>
      </c>
      <c r="B28" s="2" t="s">
        <v>14</v>
      </c>
      <c r="C28" s="2" t="s">
        <v>284</v>
      </c>
      <c r="D28" s="2" t="s">
        <v>285</v>
      </c>
      <c r="E28" s="7" t="n">
        <v>12</v>
      </c>
      <c r="F28" s="8" t="n">
        <v>115</v>
      </c>
      <c r="G28" s="2"/>
      <c r="H28" s="8" t="n">
        <v>9.58</v>
      </c>
      <c r="I28" s="9" t="n">
        <f aca="false">H28*(1-$N$2)</f>
        <v>8.8136</v>
      </c>
      <c r="J28" s="12"/>
      <c r="K28" s="13" t="str">
        <f aca="false">IF(N(J28)=0,"",(J28-I28)/J28)</f>
        <v/>
      </c>
    </row>
    <row r="29" customFormat="false" ht="15" hidden="false" customHeight="false" outlineLevel="0" collapsed="false">
      <c r="A29" s="2" t="s">
        <v>11</v>
      </c>
      <c r="B29" s="2" t="s">
        <v>14</v>
      </c>
      <c r="C29" s="2" t="s">
        <v>284</v>
      </c>
      <c r="D29" s="2" t="s">
        <v>286</v>
      </c>
      <c r="E29" s="7" t="n">
        <v>12</v>
      </c>
      <c r="F29" s="8" t="n">
        <v>120</v>
      </c>
      <c r="G29" s="2"/>
      <c r="H29" s="8" t="n">
        <v>10</v>
      </c>
      <c r="I29" s="9" t="n">
        <f aca="false">H29*(1-$N$2)</f>
        <v>9.2</v>
      </c>
      <c r="J29" s="12"/>
      <c r="K29" s="13" t="str">
        <f aca="false">IF(N(J29)=0,"",(J29-I29)/J29)</f>
        <v/>
      </c>
    </row>
    <row r="30" customFormat="false" ht="15" hidden="false" customHeight="false" outlineLevel="0" collapsed="false">
      <c r="A30" s="2" t="s">
        <v>11</v>
      </c>
      <c r="B30" s="2" t="s">
        <v>14</v>
      </c>
      <c r="C30" s="2" t="s">
        <v>284</v>
      </c>
      <c r="D30" s="2" t="s">
        <v>287</v>
      </c>
      <c r="E30" s="7" t="n">
        <v>12</v>
      </c>
      <c r="F30" s="8" t="n">
        <v>132</v>
      </c>
      <c r="G30" s="2"/>
      <c r="H30" s="8" t="n">
        <v>11</v>
      </c>
      <c r="I30" s="9" t="n">
        <f aca="false">H30*(1-$N$2)</f>
        <v>10.12</v>
      </c>
      <c r="J30" s="12"/>
      <c r="K30" s="13" t="str">
        <f aca="false">IF(N(J30)=0,"",(J30-I30)/J30)</f>
        <v/>
      </c>
    </row>
    <row r="31" customFormat="false" ht="15" hidden="false" customHeight="false" outlineLevel="0" collapsed="false">
      <c r="A31" s="2" t="s">
        <v>11</v>
      </c>
      <c r="B31" s="2" t="s">
        <v>14</v>
      </c>
      <c r="C31" s="2" t="s">
        <v>284</v>
      </c>
      <c r="D31" s="2" t="s">
        <v>288</v>
      </c>
      <c r="E31" s="7" t="n">
        <v>12</v>
      </c>
      <c r="F31" s="8" t="n">
        <v>138</v>
      </c>
      <c r="G31" s="2"/>
      <c r="H31" s="8" t="n">
        <v>11.5</v>
      </c>
      <c r="I31" s="9" t="n">
        <f aca="false">H31*(1-$N$2)</f>
        <v>10.58</v>
      </c>
      <c r="J31" s="12"/>
      <c r="K31" s="13" t="str">
        <f aca="false">IF(N(J31)=0,"",(J31-I31)/J31)</f>
        <v/>
      </c>
    </row>
    <row r="32" customFormat="false" ht="15" hidden="false" customHeight="false" outlineLevel="0" collapsed="false">
      <c r="A32" s="2" t="s">
        <v>11</v>
      </c>
      <c r="B32" s="2" t="s">
        <v>14</v>
      </c>
      <c r="C32" s="2" t="s">
        <v>284</v>
      </c>
      <c r="D32" s="2" t="s">
        <v>289</v>
      </c>
      <c r="E32" s="7" t="n">
        <v>12</v>
      </c>
      <c r="F32" s="8" t="n">
        <v>144</v>
      </c>
      <c r="G32" s="2"/>
      <c r="H32" s="8" t="n">
        <v>12</v>
      </c>
      <c r="I32" s="9" t="n">
        <f aca="false">H32*(1-$N$2)</f>
        <v>11.04</v>
      </c>
      <c r="J32" s="12"/>
      <c r="K32" s="13" t="str">
        <f aca="false">IF(N(J32)=0,"",(J32-I32)/J32)</f>
        <v/>
      </c>
    </row>
    <row r="33" customFormat="false" ht="15" hidden="false" customHeight="false" outlineLevel="0" collapsed="false">
      <c r="A33" s="2" t="s">
        <v>11</v>
      </c>
      <c r="B33" s="2" t="s">
        <v>14</v>
      </c>
      <c r="C33" s="2" t="s">
        <v>284</v>
      </c>
      <c r="D33" s="2" t="s">
        <v>290</v>
      </c>
      <c r="E33" s="7" t="n">
        <v>12</v>
      </c>
      <c r="F33" s="8" t="n">
        <v>156</v>
      </c>
      <c r="G33" s="2"/>
      <c r="H33" s="8" t="n">
        <v>13</v>
      </c>
      <c r="I33" s="9" t="n">
        <f aca="false">H33*(1-$N$2)</f>
        <v>11.96</v>
      </c>
      <c r="J33" s="12"/>
      <c r="K33" s="13" t="str">
        <f aca="false">IF(N(J33)=0,"",(J33-I33)/J33)</f>
        <v/>
      </c>
    </row>
    <row r="34" customFormat="false" ht="15" hidden="false" customHeight="false" outlineLevel="0" collapsed="false">
      <c r="A34" s="2" t="s">
        <v>11</v>
      </c>
      <c r="B34" s="2" t="s">
        <v>14</v>
      </c>
      <c r="C34" s="2" t="s">
        <v>291</v>
      </c>
      <c r="D34" s="2" t="s">
        <v>292</v>
      </c>
      <c r="E34" s="7" t="n">
        <v>12</v>
      </c>
      <c r="F34" s="8" t="n">
        <v>180</v>
      </c>
      <c r="G34" s="2"/>
      <c r="H34" s="8" t="n">
        <v>15</v>
      </c>
      <c r="I34" s="9" t="n">
        <f aca="false">H34*(1-$N$2)</f>
        <v>13.8</v>
      </c>
      <c r="J34" s="12"/>
      <c r="K34" s="13" t="str">
        <f aca="false">IF(N(J34)=0,"",(J34-I34)/J34)</f>
        <v/>
      </c>
    </row>
    <row r="35" customFormat="false" ht="15" hidden="false" customHeight="false" outlineLevel="0" collapsed="false">
      <c r="A35" s="2" t="s">
        <v>11</v>
      </c>
      <c r="B35" s="2" t="s">
        <v>18</v>
      </c>
      <c r="C35" s="2" t="s">
        <v>293</v>
      </c>
      <c r="D35" s="2" t="s">
        <v>294</v>
      </c>
      <c r="E35" s="7" t="n">
        <v>10</v>
      </c>
      <c r="F35" s="8" t="n">
        <v>198</v>
      </c>
      <c r="G35" s="2"/>
      <c r="H35" s="8" t="n">
        <v>19.8</v>
      </c>
      <c r="I35" s="9" t="n">
        <f aca="false">H35*(1-$N$2)</f>
        <v>18.216</v>
      </c>
      <c r="J35" s="12"/>
      <c r="K35" s="13" t="str">
        <f aca="false">IF(N(J35)=0,"",(J35-I35)/J35)</f>
        <v/>
      </c>
    </row>
    <row r="36" customFormat="false" ht="15" hidden="false" customHeight="false" outlineLevel="0" collapsed="false">
      <c r="A36" s="2" t="s">
        <v>11</v>
      </c>
      <c r="B36" s="2" t="s">
        <v>18</v>
      </c>
      <c r="C36" s="2" t="s">
        <v>295</v>
      </c>
      <c r="D36" s="2" t="s">
        <v>296</v>
      </c>
      <c r="E36" s="7" t="n">
        <v>12</v>
      </c>
      <c r="F36" s="8" t="n">
        <v>240</v>
      </c>
      <c r="G36" s="2"/>
      <c r="H36" s="8" t="n">
        <v>20</v>
      </c>
      <c r="I36" s="9" t="n">
        <f aca="false">H36*(1-$N$2)</f>
        <v>18.4</v>
      </c>
      <c r="J36" s="12"/>
      <c r="K36" s="13" t="str">
        <f aca="false">IF(N(J36)=0,"",(J36-I36)/J36)</f>
        <v/>
      </c>
    </row>
    <row r="37" customFormat="false" ht="15" hidden="false" customHeight="false" outlineLevel="0" collapsed="false">
      <c r="A37" s="2" t="s">
        <v>11</v>
      </c>
      <c r="B37" s="2" t="s">
        <v>20</v>
      </c>
      <c r="C37" s="2" t="s">
        <v>297</v>
      </c>
      <c r="D37" s="2" t="s">
        <v>298</v>
      </c>
      <c r="E37" s="7" t="n">
        <v>12</v>
      </c>
      <c r="F37" s="8" t="n">
        <v>60</v>
      </c>
      <c r="G37" s="2"/>
      <c r="H37" s="8" t="n">
        <v>5</v>
      </c>
      <c r="I37" s="9" t="n">
        <f aca="false">H37*(1-$N$2)</f>
        <v>4.6</v>
      </c>
      <c r="J37" s="12"/>
      <c r="K37" s="13" t="str">
        <f aca="false">IF(N(J37)=0,"",(J37-I37)/J37)</f>
        <v/>
      </c>
    </row>
    <row r="38" customFormat="false" ht="15" hidden="false" customHeight="false" outlineLevel="0" collapsed="false">
      <c r="A38" s="2" t="s">
        <v>11</v>
      </c>
      <c r="B38" s="2" t="s">
        <v>20</v>
      </c>
      <c r="C38" s="2" t="s">
        <v>299</v>
      </c>
      <c r="D38" s="2" t="s">
        <v>300</v>
      </c>
      <c r="E38" s="7" t="n">
        <v>12</v>
      </c>
      <c r="F38" s="8" t="n">
        <v>78</v>
      </c>
      <c r="G38" s="2"/>
      <c r="H38" s="8" t="n">
        <v>6.5</v>
      </c>
      <c r="I38" s="9" t="n">
        <f aca="false">H38*(1-$N$2)</f>
        <v>5.98</v>
      </c>
      <c r="J38" s="12"/>
      <c r="K38" s="13" t="str">
        <f aca="false">IF(N(J38)=0,"",(J38-I38)/J38)</f>
        <v/>
      </c>
    </row>
    <row r="39" customFormat="false" ht="15" hidden="false" customHeight="false" outlineLevel="0" collapsed="false">
      <c r="A39" s="2" t="s">
        <v>11</v>
      </c>
      <c r="B39" s="2" t="s">
        <v>20</v>
      </c>
      <c r="C39" s="2" t="s">
        <v>299</v>
      </c>
      <c r="D39" s="2" t="s">
        <v>301</v>
      </c>
      <c r="E39" s="7" t="n">
        <v>12</v>
      </c>
      <c r="F39" s="8" t="n">
        <v>90</v>
      </c>
      <c r="G39" s="2"/>
      <c r="H39" s="8" t="n">
        <v>7.5</v>
      </c>
      <c r="I39" s="9" t="n">
        <f aca="false">H39*(1-$N$2)</f>
        <v>6.9</v>
      </c>
      <c r="J39" s="12"/>
      <c r="K39" s="13" t="str">
        <f aca="false">IF(N(J39)=0,"",(J39-I39)/J39)</f>
        <v/>
      </c>
    </row>
    <row r="40" customFormat="false" ht="15" hidden="false" customHeight="false" outlineLevel="0" collapsed="false">
      <c r="A40" s="2" t="s">
        <v>11</v>
      </c>
      <c r="B40" s="2" t="s">
        <v>22</v>
      </c>
      <c r="C40" s="2" t="s">
        <v>302</v>
      </c>
      <c r="D40" s="2" t="s">
        <v>303</v>
      </c>
      <c r="E40" s="7" t="n">
        <v>12</v>
      </c>
      <c r="F40" s="8" t="n">
        <v>54</v>
      </c>
      <c r="G40" s="2"/>
      <c r="H40" s="8" t="n">
        <v>4.5</v>
      </c>
      <c r="I40" s="9" t="n">
        <f aca="false">H40*(1-$N$2)</f>
        <v>4.14</v>
      </c>
      <c r="J40" s="12"/>
      <c r="K40" s="13" t="str">
        <f aca="false">IF(N(J40)=0,"",(J40-I40)/J40)</f>
        <v/>
      </c>
    </row>
    <row r="41" customFormat="false" ht="15" hidden="false" customHeight="false" outlineLevel="0" collapsed="false">
      <c r="A41" s="2" t="s">
        <v>11</v>
      </c>
      <c r="B41" s="2" t="s">
        <v>22</v>
      </c>
      <c r="C41" s="2" t="s">
        <v>304</v>
      </c>
      <c r="D41" s="2" t="s">
        <v>305</v>
      </c>
      <c r="E41" s="7" t="n">
        <v>1</v>
      </c>
      <c r="F41" s="8" t="n">
        <v>5</v>
      </c>
      <c r="G41" s="2" t="s">
        <v>306</v>
      </c>
      <c r="H41" s="8" t="n">
        <v>5</v>
      </c>
      <c r="I41" s="9" t="n">
        <f aca="false">H41*(1-$N$2)</f>
        <v>4.6</v>
      </c>
      <c r="J41" s="12"/>
      <c r="K41" s="13" t="str">
        <f aca="false">IF(N(J41)=0,"",(J41-I41)/J41)</f>
        <v/>
      </c>
    </row>
    <row r="42" customFormat="false" ht="15" hidden="false" customHeight="false" outlineLevel="0" collapsed="false">
      <c r="A42" s="2" t="s">
        <v>11</v>
      </c>
      <c r="B42" s="2" t="s">
        <v>22</v>
      </c>
      <c r="C42" s="2" t="s">
        <v>307</v>
      </c>
      <c r="D42" s="2" t="s">
        <v>308</v>
      </c>
      <c r="E42" s="7" t="n">
        <v>1</v>
      </c>
      <c r="F42" s="8" t="n">
        <v>10</v>
      </c>
      <c r="G42" s="2" t="s">
        <v>306</v>
      </c>
      <c r="H42" s="8" t="n">
        <v>10</v>
      </c>
      <c r="I42" s="9" t="n">
        <f aca="false">H42*(1-$N$2)</f>
        <v>9.2</v>
      </c>
      <c r="J42" s="12"/>
      <c r="K42" s="13" t="str">
        <f aca="false">IF(N(J42)=0,"",(J42-I42)/J42)</f>
        <v/>
      </c>
    </row>
    <row r="43" customFormat="false" ht="15" hidden="false" customHeight="false" outlineLevel="0" collapsed="false">
      <c r="A43" s="2" t="s">
        <v>11</v>
      </c>
      <c r="B43" s="2" t="s">
        <v>309</v>
      </c>
      <c r="C43" s="2" t="s">
        <v>310</v>
      </c>
      <c r="D43" s="2" t="s">
        <v>311</v>
      </c>
      <c r="E43" s="7" t="n">
        <v>1</v>
      </c>
      <c r="F43" s="8" t="n">
        <v>7</v>
      </c>
      <c r="G43" s="2" t="s">
        <v>306</v>
      </c>
      <c r="H43" s="8" t="n">
        <v>7</v>
      </c>
      <c r="I43" s="9" t="n">
        <f aca="false">H43*(1-$N$2)</f>
        <v>6.44</v>
      </c>
      <c r="J43" s="12"/>
      <c r="K43" s="13" t="str">
        <f aca="false">IF(N(J43)=0,"",(J43-I43)/J43)</f>
        <v/>
      </c>
    </row>
    <row r="44" customFormat="false" ht="15" hidden="false" customHeight="false" outlineLevel="0" collapsed="false">
      <c r="A44" s="2" t="s">
        <v>11</v>
      </c>
      <c r="B44" s="2" t="s">
        <v>309</v>
      </c>
      <c r="C44" s="2" t="s">
        <v>312</v>
      </c>
      <c r="D44" s="2" t="s">
        <v>313</v>
      </c>
      <c r="E44" s="7" t="n">
        <v>12</v>
      </c>
      <c r="F44" s="8" t="n">
        <v>78</v>
      </c>
      <c r="G44" s="2"/>
      <c r="H44" s="8" t="n">
        <v>6.5</v>
      </c>
      <c r="I44" s="9" t="n">
        <f aca="false">H44*(1-$N$2)</f>
        <v>5.98</v>
      </c>
      <c r="J44" s="12"/>
      <c r="K44" s="13" t="str">
        <f aca="false">IF(N(J44)=0,"",(J44-I44)/J44)</f>
        <v/>
      </c>
    </row>
    <row r="45" customFormat="false" ht="15" hidden="false" customHeight="false" outlineLevel="0" collapsed="false">
      <c r="A45" s="2" t="s">
        <v>11</v>
      </c>
      <c r="B45" s="2" t="s">
        <v>309</v>
      </c>
      <c r="C45" s="2" t="s">
        <v>314</v>
      </c>
      <c r="D45" s="2" t="s">
        <v>315</v>
      </c>
      <c r="E45" s="7" t="n">
        <v>12</v>
      </c>
      <c r="F45" s="8" t="n">
        <v>96</v>
      </c>
      <c r="G45" s="2"/>
      <c r="H45" s="8" t="n">
        <v>8</v>
      </c>
      <c r="I45" s="9" t="n">
        <f aca="false">H45*(1-$N$2)</f>
        <v>7.36</v>
      </c>
      <c r="J45" s="12"/>
      <c r="K45" s="13" t="str">
        <f aca="false">IF(N(J45)=0,"",(J45-I45)/J45)</f>
        <v/>
      </c>
    </row>
    <row r="46" customFormat="false" ht="15" hidden="false" customHeight="false" outlineLevel="0" collapsed="false">
      <c r="A46" s="2" t="s">
        <v>11</v>
      </c>
      <c r="B46" s="2" t="s">
        <v>316</v>
      </c>
      <c r="C46" s="2" t="s">
        <v>317</v>
      </c>
      <c r="D46" s="2" t="s">
        <v>318</v>
      </c>
      <c r="E46" s="7" t="n">
        <v>1</v>
      </c>
      <c r="F46" s="8" t="n">
        <v>15</v>
      </c>
      <c r="G46" s="2"/>
      <c r="H46" s="8" t="n">
        <v>15</v>
      </c>
      <c r="I46" s="9" t="n">
        <f aca="false">H46*(1-$N$2)</f>
        <v>13.8</v>
      </c>
      <c r="J46" s="12"/>
      <c r="K46" s="13" t="str">
        <f aca="false">IF(N(J46)=0,"",(J46-I46)/J46)</f>
        <v/>
      </c>
    </row>
    <row r="47" customFormat="false" ht="15" hidden="false" customHeight="false" outlineLevel="0" collapsed="false">
      <c r="A47" s="2" t="s">
        <v>24</v>
      </c>
      <c r="B47" s="2" t="s">
        <v>25</v>
      </c>
      <c r="C47" s="2" t="s">
        <v>319</v>
      </c>
      <c r="D47" s="2" t="s">
        <v>320</v>
      </c>
      <c r="E47" s="7" t="n">
        <v>12</v>
      </c>
      <c r="F47" s="8" t="n">
        <v>22</v>
      </c>
      <c r="G47" s="2" t="s">
        <v>321</v>
      </c>
      <c r="H47" s="8" t="n">
        <v>1.83</v>
      </c>
      <c r="I47" s="9" t="n">
        <f aca="false">H47*(1-$N$2)</f>
        <v>1.6836</v>
      </c>
      <c r="J47" s="12"/>
      <c r="K47" s="13" t="str">
        <f aca="false">IF(N(J47)=0,"",(J47-I47)/J47)</f>
        <v/>
      </c>
    </row>
    <row r="48" customFormat="false" ht="15" hidden="false" customHeight="false" outlineLevel="0" collapsed="false">
      <c r="A48" s="2" t="s">
        <v>24</v>
      </c>
      <c r="B48" s="2" t="s">
        <v>25</v>
      </c>
      <c r="C48" s="2" t="s">
        <v>25</v>
      </c>
      <c r="D48" s="2" t="s">
        <v>322</v>
      </c>
      <c r="E48" s="7" t="n">
        <v>12</v>
      </c>
      <c r="F48" s="8" t="n">
        <v>24</v>
      </c>
      <c r="G48" s="2"/>
      <c r="H48" s="8" t="n">
        <v>2</v>
      </c>
      <c r="I48" s="9" t="n">
        <f aca="false">H48*(1-$N$2)</f>
        <v>1.84</v>
      </c>
      <c r="J48" s="12"/>
      <c r="K48" s="13" t="str">
        <f aca="false">IF(N(J48)=0,"",(J48-I48)/J48)</f>
        <v/>
      </c>
    </row>
    <row r="49" customFormat="false" ht="15" hidden="false" customHeight="false" outlineLevel="0" collapsed="false">
      <c r="A49" s="2" t="s">
        <v>24</v>
      </c>
      <c r="B49" s="2" t="s">
        <v>25</v>
      </c>
      <c r="C49" s="2" t="s">
        <v>25</v>
      </c>
      <c r="D49" s="2" t="s">
        <v>323</v>
      </c>
      <c r="E49" s="7" t="n">
        <v>12</v>
      </c>
      <c r="F49" s="8" t="n">
        <v>28</v>
      </c>
      <c r="G49" s="2"/>
      <c r="H49" s="8" t="n">
        <v>2.33</v>
      </c>
      <c r="I49" s="9" t="n">
        <f aca="false">H49*(1-$N$2)</f>
        <v>2.1436</v>
      </c>
      <c r="J49" s="12"/>
      <c r="K49" s="13" t="str">
        <f aca="false">IF(N(J49)=0,"",(J49-I49)/J49)</f>
        <v/>
      </c>
    </row>
    <row r="50" customFormat="false" ht="15" hidden="false" customHeight="false" outlineLevel="0" collapsed="false">
      <c r="A50" s="2" t="s">
        <v>24</v>
      </c>
      <c r="B50" s="2" t="s">
        <v>25</v>
      </c>
      <c r="C50" s="2" t="s">
        <v>25</v>
      </c>
      <c r="D50" s="2" t="s">
        <v>324</v>
      </c>
      <c r="E50" s="7" t="n">
        <v>12</v>
      </c>
      <c r="F50" s="8" t="n">
        <v>30</v>
      </c>
      <c r="G50" s="2" t="s">
        <v>325</v>
      </c>
      <c r="H50" s="8" t="n">
        <v>2.5</v>
      </c>
      <c r="I50" s="9" t="n">
        <f aca="false">H50*(1-$N$2)</f>
        <v>2.3</v>
      </c>
      <c r="J50" s="12"/>
      <c r="K50" s="13" t="str">
        <f aca="false">IF(N(J50)=0,"",(J50-I50)/J50)</f>
        <v/>
      </c>
    </row>
    <row r="51" customFormat="false" ht="15" hidden="false" customHeight="false" outlineLevel="0" collapsed="false">
      <c r="A51" s="2" t="s">
        <v>24</v>
      </c>
      <c r="B51" s="2" t="s">
        <v>25</v>
      </c>
      <c r="C51" s="2" t="s">
        <v>25</v>
      </c>
      <c r="D51" s="2" t="s">
        <v>326</v>
      </c>
      <c r="E51" s="7" t="n">
        <v>12</v>
      </c>
      <c r="F51" s="8" t="n">
        <v>38</v>
      </c>
      <c r="G51" s="2"/>
      <c r="H51" s="8" t="n">
        <v>3.16</v>
      </c>
      <c r="I51" s="9" t="n">
        <f aca="false">H51*(1-$N$2)</f>
        <v>2.9072</v>
      </c>
      <c r="J51" s="12"/>
      <c r="K51" s="13" t="str">
        <f aca="false">IF(N(J51)=0,"",(J51-I51)/J51)</f>
        <v/>
      </c>
    </row>
    <row r="52" customFormat="false" ht="15" hidden="false" customHeight="false" outlineLevel="0" collapsed="false">
      <c r="A52" s="2" t="s">
        <v>24</v>
      </c>
      <c r="B52" s="2" t="s">
        <v>25</v>
      </c>
      <c r="C52" s="2" t="s">
        <v>327</v>
      </c>
      <c r="D52" s="2" t="s">
        <v>328</v>
      </c>
      <c r="E52" s="7" t="n">
        <v>24</v>
      </c>
      <c r="F52" s="8" t="n">
        <v>80</v>
      </c>
      <c r="G52" s="2"/>
      <c r="H52" s="8" t="n">
        <v>3.33</v>
      </c>
      <c r="I52" s="9" t="n">
        <f aca="false">H52*(1-$N$2)</f>
        <v>3.0636</v>
      </c>
      <c r="J52" s="12"/>
      <c r="K52" s="13" t="str">
        <f aca="false">IF(N(J52)=0,"",(J52-I52)/J52)</f>
        <v/>
      </c>
    </row>
    <row r="53" customFormat="false" ht="15" hidden="false" customHeight="false" outlineLevel="0" collapsed="false">
      <c r="A53" s="2" t="s">
        <v>24</v>
      </c>
      <c r="B53" s="2" t="s">
        <v>25</v>
      </c>
      <c r="C53" s="2" t="s">
        <v>25</v>
      </c>
      <c r="D53" s="2" t="s">
        <v>329</v>
      </c>
      <c r="E53" s="7" t="n">
        <v>12</v>
      </c>
      <c r="F53" s="8" t="n">
        <v>40</v>
      </c>
      <c r="G53" s="2" t="s">
        <v>330</v>
      </c>
      <c r="H53" s="8" t="n">
        <v>3.33</v>
      </c>
      <c r="I53" s="9" t="n">
        <f aca="false">H53*(1-$N$2)</f>
        <v>3.0636</v>
      </c>
      <c r="J53" s="12"/>
      <c r="K53" s="13" t="str">
        <f aca="false">IF(N(J53)=0,"",(J53-I53)/J53)</f>
        <v/>
      </c>
    </row>
    <row r="54" customFormat="false" ht="15" hidden="false" customHeight="false" outlineLevel="0" collapsed="false">
      <c r="A54" s="2" t="s">
        <v>24</v>
      </c>
      <c r="B54" s="2" t="s">
        <v>25</v>
      </c>
      <c r="C54" s="2" t="s">
        <v>331</v>
      </c>
      <c r="D54" s="2" t="s">
        <v>332</v>
      </c>
      <c r="E54" s="7" t="n">
        <v>12</v>
      </c>
      <c r="F54" s="8" t="n">
        <v>42</v>
      </c>
      <c r="G54" s="2"/>
      <c r="H54" s="8" t="n">
        <v>3.5</v>
      </c>
      <c r="I54" s="9" t="n">
        <f aca="false">H54*(1-$N$2)</f>
        <v>3.22</v>
      </c>
      <c r="J54" s="12"/>
      <c r="K54" s="13" t="str">
        <f aca="false">IF(N(J54)=0,"",(J54-I54)/J54)</f>
        <v/>
      </c>
    </row>
    <row r="55" customFormat="false" ht="15" hidden="false" customHeight="false" outlineLevel="0" collapsed="false">
      <c r="A55" s="2" t="s">
        <v>24</v>
      </c>
      <c r="B55" s="2" t="s">
        <v>25</v>
      </c>
      <c r="C55" s="2" t="s">
        <v>25</v>
      </c>
      <c r="D55" s="2" t="s">
        <v>333</v>
      </c>
      <c r="E55" s="7" t="n">
        <v>12</v>
      </c>
      <c r="F55" s="8" t="n">
        <v>48</v>
      </c>
      <c r="G55" s="2"/>
      <c r="H55" s="8" t="n">
        <v>4</v>
      </c>
      <c r="I55" s="9" t="n">
        <f aca="false">H55*(1-$N$2)</f>
        <v>3.68</v>
      </c>
      <c r="J55" s="12"/>
      <c r="K55" s="13" t="str">
        <f aca="false">IF(N(J55)=0,"",(J55-I55)/J55)</f>
        <v/>
      </c>
    </row>
    <row r="56" customFormat="false" ht="15" hidden="false" customHeight="false" outlineLevel="0" collapsed="false">
      <c r="A56" s="2" t="s">
        <v>24</v>
      </c>
      <c r="B56" s="2" t="s">
        <v>25</v>
      </c>
      <c r="C56" s="2" t="s">
        <v>25</v>
      </c>
      <c r="D56" s="2" t="s">
        <v>334</v>
      </c>
      <c r="E56" s="7" t="n">
        <v>12</v>
      </c>
      <c r="F56" s="8" t="n">
        <v>54</v>
      </c>
      <c r="G56" s="2"/>
      <c r="H56" s="8" t="n">
        <v>4.5</v>
      </c>
      <c r="I56" s="9" t="n">
        <f aca="false">H56*(1-$N$2)</f>
        <v>4.14</v>
      </c>
      <c r="J56" s="12"/>
      <c r="K56" s="13" t="str">
        <f aca="false">IF(N(J56)=0,"",(J56-I56)/J56)</f>
        <v/>
      </c>
    </row>
    <row r="57" customFormat="false" ht="15" hidden="false" customHeight="false" outlineLevel="0" collapsed="false">
      <c r="A57" s="2" t="s">
        <v>24</v>
      </c>
      <c r="B57" s="2" t="s">
        <v>25</v>
      </c>
      <c r="C57" s="2" t="s">
        <v>25</v>
      </c>
      <c r="D57" s="2" t="s">
        <v>335</v>
      </c>
      <c r="E57" s="7" t="n">
        <v>12</v>
      </c>
      <c r="F57" s="8" t="n">
        <v>60</v>
      </c>
      <c r="G57" s="2"/>
      <c r="H57" s="8" t="n">
        <v>5</v>
      </c>
      <c r="I57" s="9" t="n">
        <f aca="false">H57*(1-$N$2)</f>
        <v>4.6</v>
      </c>
      <c r="J57" s="12"/>
      <c r="K57" s="13" t="str">
        <f aca="false">IF(N(J57)=0,"",(J57-I57)/J57)</f>
        <v/>
      </c>
    </row>
    <row r="58" customFormat="false" ht="15" hidden="false" customHeight="false" outlineLevel="0" collapsed="false">
      <c r="A58" s="2" t="s">
        <v>24</v>
      </c>
      <c r="B58" s="2" t="s">
        <v>25</v>
      </c>
      <c r="C58" s="2" t="s">
        <v>25</v>
      </c>
      <c r="D58" s="2" t="s">
        <v>336</v>
      </c>
      <c r="E58" s="7" t="n">
        <v>12</v>
      </c>
      <c r="F58" s="8" t="n">
        <v>66</v>
      </c>
      <c r="G58" s="2"/>
      <c r="H58" s="8" t="n">
        <v>5.5</v>
      </c>
      <c r="I58" s="9" t="n">
        <f aca="false">H58*(1-$N$2)</f>
        <v>5.06</v>
      </c>
      <c r="J58" s="12"/>
      <c r="K58" s="13" t="str">
        <f aca="false">IF(N(J58)=0,"",(J58-I58)/J58)</f>
        <v/>
      </c>
    </row>
    <row r="59" customFormat="false" ht="15" hidden="false" customHeight="false" outlineLevel="0" collapsed="false">
      <c r="A59" s="2" t="s">
        <v>24</v>
      </c>
      <c r="B59" s="2" t="s">
        <v>25</v>
      </c>
      <c r="C59" s="2" t="s">
        <v>337</v>
      </c>
      <c r="D59" s="2" t="s">
        <v>338</v>
      </c>
      <c r="E59" s="7" t="n">
        <v>12</v>
      </c>
      <c r="F59" s="8" t="n">
        <v>72</v>
      </c>
      <c r="G59" s="2"/>
      <c r="H59" s="8" t="n">
        <v>6</v>
      </c>
      <c r="I59" s="9" t="n">
        <f aca="false">H59*(1-$N$2)</f>
        <v>5.52</v>
      </c>
      <c r="J59" s="12"/>
      <c r="K59" s="13" t="str">
        <f aca="false">IF(N(J59)=0,"",(J59-I59)/J59)</f>
        <v/>
      </c>
    </row>
    <row r="60" customFormat="false" ht="15" hidden="false" customHeight="false" outlineLevel="0" collapsed="false">
      <c r="A60" s="2" t="s">
        <v>24</v>
      </c>
      <c r="B60" s="2" t="s">
        <v>25</v>
      </c>
      <c r="C60" s="2" t="s">
        <v>337</v>
      </c>
      <c r="D60" s="2" t="s">
        <v>339</v>
      </c>
      <c r="E60" s="7" t="n">
        <v>12</v>
      </c>
      <c r="F60" s="8" t="n">
        <v>75</v>
      </c>
      <c r="G60" s="2"/>
      <c r="H60" s="8" t="n">
        <v>6.25</v>
      </c>
      <c r="I60" s="9" t="n">
        <f aca="false">H60*(1-$N$2)</f>
        <v>5.75</v>
      </c>
      <c r="J60" s="12"/>
      <c r="K60" s="13" t="str">
        <f aca="false">IF(N(J60)=0,"",(J60-I60)/J60)</f>
        <v/>
      </c>
    </row>
    <row r="61" customFormat="false" ht="15" hidden="false" customHeight="false" outlineLevel="0" collapsed="false">
      <c r="A61" s="2" t="s">
        <v>24</v>
      </c>
      <c r="B61" s="2" t="s">
        <v>25</v>
      </c>
      <c r="C61" s="2" t="s">
        <v>337</v>
      </c>
      <c r="D61" s="2" t="s">
        <v>340</v>
      </c>
      <c r="E61" s="7" t="n">
        <v>12</v>
      </c>
      <c r="F61" s="8" t="n">
        <v>90</v>
      </c>
      <c r="G61" s="2"/>
      <c r="H61" s="8" t="n">
        <v>7.5</v>
      </c>
      <c r="I61" s="9" t="n">
        <f aca="false">H61*(1-$N$2)</f>
        <v>6.9</v>
      </c>
      <c r="J61" s="12"/>
      <c r="K61" s="13" t="str">
        <f aca="false">IF(N(J61)=0,"",(J61-I61)/J61)</f>
        <v/>
      </c>
    </row>
    <row r="62" customFormat="false" ht="15" hidden="false" customHeight="false" outlineLevel="0" collapsed="false">
      <c r="A62" s="2" t="s">
        <v>24</v>
      </c>
      <c r="B62" s="2" t="s">
        <v>25</v>
      </c>
      <c r="C62" s="2" t="s">
        <v>341</v>
      </c>
      <c r="D62" s="2" t="s">
        <v>342</v>
      </c>
      <c r="E62" s="7" t="n">
        <v>12</v>
      </c>
      <c r="F62" s="8" t="n">
        <v>96</v>
      </c>
      <c r="G62" s="2"/>
      <c r="H62" s="8" t="n">
        <v>8</v>
      </c>
      <c r="I62" s="9" t="n">
        <f aca="false">H62*(1-$N$2)</f>
        <v>7.36</v>
      </c>
      <c r="J62" s="12"/>
      <c r="K62" s="13" t="str">
        <f aca="false">IF(N(J62)=0,"",(J62-I62)/J62)</f>
        <v/>
      </c>
    </row>
    <row r="63" customFormat="false" ht="15" hidden="false" customHeight="false" outlineLevel="0" collapsed="false">
      <c r="A63" s="2" t="s">
        <v>24</v>
      </c>
      <c r="B63" s="2" t="s">
        <v>25</v>
      </c>
      <c r="C63" s="2" t="s">
        <v>343</v>
      </c>
      <c r="D63" s="2" t="s">
        <v>344</v>
      </c>
      <c r="E63" s="7" t="n">
        <v>6</v>
      </c>
      <c r="F63" s="8" t="n">
        <v>48</v>
      </c>
      <c r="G63" s="2"/>
      <c r="H63" s="8" t="n">
        <v>8</v>
      </c>
      <c r="I63" s="9" t="n">
        <f aca="false">H63*(1-$N$2)</f>
        <v>7.36</v>
      </c>
      <c r="J63" s="12"/>
      <c r="K63" s="13" t="str">
        <f aca="false">IF(N(J63)=0,"",(J63-I63)/J63)</f>
        <v/>
      </c>
    </row>
    <row r="64" customFormat="false" ht="15" hidden="false" customHeight="false" outlineLevel="0" collapsed="false">
      <c r="A64" s="2" t="s">
        <v>24</v>
      </c>
      <c r="B64" s="2" t="s">
        <v>25</v>
      </c>
      <c r="C64" s="2" t="s">
        <v>345</v>
      </c>
      <c r="D64" s="2" t="s">
        <v>346</v>
      </c>
      <c r="E64" s="7" t="n">
        <v>12</v>
      </c>
      <c r="F64" s="8" t="n">
        <v>100</v>
      </c>
      <c r="G64" s="2"/>
      <c r="H64" s="8" t="n">
        <v>8.33</v>
      </c>
      <c r="I64" s="9" t="n">
        <f aca="false">H64*(1-$N$2)</f>
        <v>7.6636</v>
      </c>
      <c r="J64" s="12"/>
      <c r="K64" s="13" t="str">
        <f aca="false">IF(N(J64)=0,"",(J64-I64)/J64)</f>
        <v/>
      </c>
    </row>
    <row r="65" customFormat="false" ht="15" hidden="false" customHeight="false" outlineLevel="0" collapsed="false">
      <c r="A65" s="2" t="s">
        <v>24</v>
      </c>
      <c r="B65" s="2" t="s">
        <v>25</v>
      </c>
      <c r="C65" s="2" t="s">
        <v>345</v>
      </c>
      <c r="D65" s="2" t="s">
        <v>347</v>
      </c>
      <c r="E65" s="7" t="n">
        <v>12</v>
      </c>
      <c r="F65" s="8" t="n">
        <v>108</v>
      </c>
      <c r="G65" s="2"/>
      <c r="H65" s="8" t="n">
        <v>9</v>
      </c>
      <c r="I65" s="9" t="n">
        <f aca="false">H65*(1-$N$2)</f>
        <v>8.28</v>
      </c>
      <c r="J65" s="12"/>
      <c r="K65" s="13" t="str">
        <f aca="false">IF(N(J65)=0,"",(J65-I65)/J65)</f>
        <v/>
      </c>
    </row>
    <row r="66" customFormat="false" ht="15" hidden="false" customHeight="false" outlineLevel="0" collapsed="false">
      <c r="A66" s="2" t="s">
        <v>24</v>
      </c>
      <c r="B66" s="2" t="s">
        <v>25</v>
      </c>
      <c r="C66" s="2" t="s">
        <v>345</v>
      </c>
      <c r="D66" s="2" t="s">
        <v>348</v>
      </c>
      <c r="E66" s="7" t="n">
        <v>12</v>
      </c>
      <c r="F66" s="8" t="n">
        <v>114</v>
      </c>
      <c r="G66" s="2"/>
      <c r="H66" s="8" t="n">
        <v>9.5</v>
      </c>
      <c r="I66" s="9" t="n">
        <f aca="false">H66*(1-$N$2)</f>
        <v>8.74</v>
      </c>
      <c r="J66" s="12"/>
      <c r="K66" s="13" t="str">
        <f aca="false">IF(N(J66)=0,"",(J66-I66)/J66)</f>
        <v/>
      </c>
    </row>
    <row r="67" customFormat="false" ht="15" hidden="false" customHeight="false" outlineLevel="0" collapsed="false">
      <c r="A67" s="2" t="s">
        <v>24</v>
      </c>
      <c r="B67" s="2" t="s">
        <v>25</v>
      </c>
      <c r="C67" s="2" t="s">
        <v>349</v>
      </c>
      <c r="D67" s="2" t="s">
        <v>350</v>
      </c>
      <c r="E67" s="7" t="n">
        <v>6</v>
      </c>
      <c r="F67" s="8" t="n">
        <v>60</v>
      </c>
      <c r="G67" s="2"/>
      <c r="H67" s="8" t="n">
        <v>10</v>
      </c>
      <c r="I67" s="9" t="n">
        <f aca="false">H67*(1-$N$2)</f>
        <v>9.2</v>
      </c>
      <c r="J67" s="12"/>
      <c r="K67" s="13" t="str">
        <f aca="false">IF(N(J67)=0,"",(J67-I67)/J67)</f>
        <v/>
      </c>
    </row>
    <row r="68" customFormat="false" ht="15" hidden="false" customHeight="false" outlineLevel="0" collapsed="false">
      <c r="A68" s="2" t="s">
        <v>24</v>
      </c>
      <c r="B68" s="2" t="s">
        <v>25</v>
      </c>
      <c r="C68" s="2" t="s">
        <v>349</v>
      </c>
      <c r="D68" s="2" t="s">
        <v>351</v>
      </c>
      <c r="E68" s="7" t="n">
        <v>6</v>
      </c>
      <c r="F68" s="8" t="n">
        <v>66</v>
      </c>
      <c r="G68" s="2"/>
      <c r="H68" s="8" t="n">
        <v>11</v>
      </c>
      <c r="I68" s="9" t="n">
        <f aca="false">H68*(1-$N$2)</f>
        <v>10.12</v>
      </c>
      <c r="J68" s="12"/>
      <c r="K68" s="13" t="str">
        <f aca="false">IF(N(J68)=0,"",(J68-I68)/J68)</f>
        <v/>
      </c>
    </row>
    <row r="69" customFormat="false" ht="15" hidden="false" customHeight="false" outlineLevel="0" collapsed="false">
      <c r="A69" s="2" t="s">
        <v>24</v>
      </c>
      <c r="B69" s="2" t="s">
        <v>25</v>
      </c>
      <c r="C69" s="2" t="s">
        <v>349</v>
      </c>
      <c r="D69" s="2" t="s">
        <v>352</v>
      </c>
      <c r="E69" s="7" t="n">
        <v>6</v>
      </c>
      <c r="F69" s="8" t="n">
        <v>72</v>
      </c>
      <c r="G69" s="2"/>
      <c r="H69" s="8" t="n">
        <v>12</v>
      </c>
      <c r="I69" s="9" t="n">
        <f aca="false">H69*(1-$N$2)</f>
        <v>11.04</v>
      </c>
      <c r="J69" s="12"/>
      <c r="K69" s="13" t="str">
        <f aca="false">IF(N(J69)=0,"",(J69-I69)/J69)</f>
        <v/>
      </c>
    </row>
    <row r="70" customFormat="false" ht="15" hidden="false" customHeight="false" outlineLevel="0" collapsed="false">
      <c r="A70" s="2" t="s">
        <v>24</v>
      </c>
      <c r="B70" s="2" t="s">
        <v>25</v>
      </c>
      <c r="C70" s="2" t="s">
        <v>345</v>
      </c>
      <c r="D70" s="2" t="s">
        <v>353</v>
      </c>
      <c r="E70" s="7" t="n">
        <v>12</v>
      </c>
      <c r="F70" s="8" t="n">
        <v>152</v>
      </c>
      <c r="G70" s="2"/>
      <c r="H70" s="8" t="n">
        <v>12.66</v>
      </c>
      <c r="I70" s="9" t="n">
        <f aca="false">H70*(1-$N$2)</f>
        <v>11.6472</v>
      </c>
      <c r="J70" s="12"/>
      <c r="K70" s="13" t="str">
        <f aca="false">IF(N(J70)=0,"",(J70-I70)/J70)</f>
        <v/>
      </c>
    </row>
    <row r="71" customFormat="false" ht="15" hidden="false" customHeight="false" outlineLevel="0" collapsed="false">
      <c r="A71" s="2" t="s">
        <v>24</v>
      </c>
      <c r="B71" s="2" t="s">
        <v>25</v>
      </c>
      <c r="C71" s="2" t="s">
        <v>349</v>
      </c>
      <c r="D71" s="2" t="s">
        <v>354</v>
      </c>
      <c r="E71" s="7" t="n">
        <v>6</v>
      </c>
      <c r="F71" s="8" t="n">
        <v>78</v>
      </c>
      <c r="G71" s="2"/>
      <c r="H71" s="8" t="n">
        <v>13</v>
      </c>
      <c r="I71" s="9" t="n">
        <f aca="false">H71*(1-$N$2)</f>
        <v>11.96</v>
      </c>
      <c r="J71" s="12"/>
      <c r="K71" s="13" t="str">
        <f aca="false">IF(N(J71)=0,"",(J71-I71)/J71)</f>
        <v/>
      </c>
    </row>
    <row r="72" customFormat="false" ht="15" hidden="false" customHeight="false" outlineLevel="0" collapsed="false">
      <c r="A72" s="2" t="s">
        <v>24</v>
      </c>
      <c r="B72" s="2" t="s">
        <v>25</v>
      </c>
      <c r="C72" s="2" t="s">
        <v>355</v>
      </c>
      <c r="D72" s="2" t="s">
        <v>356</v>
      </c>
      <c r="E72" s="7" t="n">
        <v>6</v>
      </c>
      <c r="F72" s="8" t="n">
        <v>96</v>
      </c>
      <c r="G72" s="2"/>
      <c r="H72" s="8" t="n">
        <v>16</v>
      </c>
      <c r="I72" s="9" t="n">
        <f aca="false">H72*(1-$N$2)</f>
        <v>14.72</v>
      </c>
      <c r="J72" s="12"/>
      <c r="K72" s="13" t="str">
        <f aca="false">IF(N(J72)=0,"",(J72-I72)/J72)</f>
        <v/>
      </c>
    </row>
    <row r="73" customFormat="false" ht="15" hidden="false" customHeight="false" outlineLevel="0" collapsed="false">
      <c r="A73" s="2" t="s">
        <v>24</v>
      </c>
      <c r="B73" s="2" t="s">
        <v>25</v>
      </c>
      <c r="C73" s="2" t="s">
        <v>355</v>
      </c>
      <c r="D73" s="2" t="s">
        <v>357</v>
      </c>
      <c r="E73" s="7" t="n">
        <v>6</v>
      </c>
      <c r="F73" s="8" t="n">
        <v>108</v>
      </c>
      <c r="G73" s="2"/>
      <c r="H73" s="8" t="n">
        <v>18</v>
      </c>
      <c r="I73" s="9" t="n">
        <f aca="false">H73*(1-$N$2)</f>
        <v>16.56</v>
      </c>
      <c r="J73" s="12"/>
      <c r="K73" s="13" t="str">
        <f aca="false">IF(N(J73)=0,"",(J73-I73)/J73)</f>
        <v/>
      </c>
    </row>
    <row r="74" customFormat="false" ht="15" hidden="false" customHeight="false" outlineLevel="0" collapsed="false">
      <c r="A74" s="2" t="s">
        <v>24</v>
      </c>
      <c r="B74" s="2" t="s">
        <v>27</v>
      </c>
      <c r="C74" s="2" t="s">
        <v>358</v>
      </c>
      <c r="D74" s="2" t="s">
        <v>359</v>
      </c>
      <c r="E74" s="7" t="n">
        <v>12</v>
      </c>
      <c r="F74" s="8" t="n">
        <v>36</v>
      </c>
      <c r="G74" s="2"/>
      <c r="H74" s="8" t="n">
        <v>3</v>
      </c>
      <c r="I74" s="9" t="n">
        <f aca="false">H74*(1-$N$2)</f>
        <v>2.76</v>
      </c>
      <c r="J74" s="12"/>
      <c r="K74" s="13" t="str">
        <f aca="false">IF(N(J74)=0,"",(J74-I74)/J74)</f>
        <v/>
      </c>
    </row>
    <row r="75" customFormat="false" ht="15" hidden="false" customHeight="false" outlineLevel="0" collapsed="false">
      <c r="A75" s="2" t="s">
        <v>24</v>
      </c>
      <c r="B75" s="2" t="s">
        <v>27</v>
      </c>
      <c r="C75" s="2" t="s">
        <v>360</v>
      </c>
      <c r="D75" s="2" t="s">
        <v>361</v>
      </c>
      <c r="E75" s="7" t="n">
        <v>12</v>
      </c>
      <c r="F75" s="8" t="n">
        <v>54</v>
      </c>
      <c r="G75" s="2"/>
      <c r="H75" s="8" t="n">
        <v>4.5</v>
      </c>
      <c r="I75" s="9" t="n">
        <f aca="false">H75*(1-$N$2)</f>
        <v>4.14</v>
      </c>
      <c r="J75" s="12"/>
      <c r="K75" s="13" t="str">
        <f aca="false">IF(N(J75)=0,"",(J75-I75)/J75)</f>
        <v/>
      </c>
    </row>
    <row r="76" customFormat="false" ht="15" hidden="false" customHeight="false" outlineLevel="0" collapsed="false">
      <c r="A76" s="2" t="s">
        <v>24</v>
      </c>
      <c r="B76" s="2" t="s">
        <v>27</v>
      </c>
      <c r="C76" s="2" t="s">
        <v>27</v>
      </c>
      <c r="D76" s="2" t="s">
        <v>362</v>
      </c>
      <c r="E76" s="7" t="n">
        <v>12</v>
      </c>
      <c r="F76" s="8" t="n">
        <v>60</v>
      </c>
      <c r="G76" s="2"/>
      <c r="H76" s="8" t="n">
        <v>5</v>
      </c>
      <c r="I76" s="9" t="n">
        <f aca="false">H76*(1-$N$2)</f>
        <v>4.6</v>
      </c>
      <c r="J76" s="12"/>
      <c r="K76" s="13" t="str">
        <f aca="false">IF(N(J76)=0,"",(J76-I76)/J76)</f>
        <v/>
      </c>
    </row>
    <row r="77" customFormat="false" ht="15" hidden="false" customHeight="false" outlineLevel="0" collapsed="false">
      <c r="A77" s="2" t="s">
        <v>24</v>
      </c>
      <c r="B77" s="2" t="s">
        <v>27</v>
      </c>
      <c r="C77" s="2" t="s">
        <v>27</v>
      </c>
      <c r="D77" s="2" t="s">
        <v>363</v>
      </c>
      <c r="E77" s="7" t="n">
        <v>12</v>
      </c>
      <c r="F77" s="8" t="n">
        <v>66</v>
      </c>
      <c r="G77" s="2"/>
      <c r="H77" s="8" t="n">
        <v>5.5</v>
      </c>
      <c r="I77" s="9" t="n">
        <f aca="false">H77*(1-$N$2)</f>
        <v>5.06</v>
      </c>
      <c r="J77" s="12"/>
      <c r="K77" s="13" t="str">
        <f aca="false">IF(N(J77)=0,"",(J77-I77)/J77)</f>
        <v/>
      </c>
    </row>
    <row r="78" customFormat="false" ht="15" hidden="false" customHeight="false" outlineLevel="0" collapsed="false">
      <c r="A78" s="2" t="s">
        <v>24</v>
      </c>
      <c r="B78" s="2" t="s">
        <v>27</v>
      </c>
      <c r="C78" s="2" t="s">
        <v>364</v>
      </c>
      <c r="D78" s="2" t="s">
        <v>365</v>
      </c>
      <c r="E78" s="7" t="n">
        <v>12</v>
      </c>
      <c r="F78" s="8" t="n">
        <v>72</v>
      </c>
      <c r="G78" s="2"/>
      <c r="H78" s="8" t="n">
        <v>6</v>
      </c>
      <c r="I78" s="9" t="n">
        <f aca="false">H78*(1-$N$2)</f>
        <v>5.52</v>
      </c>
      <c r="J78" s="12"/>
      <c r="K78" s="13" t="str">
        <f aca="false">IF(N(J78)=0,"",(J78-I78)/J78)</f>
        <v/>
      </c>
    </row>
    <row r="79" customFormat="false" ht="15" hidden="false" customHeight="false" outlineLevel="0" collapsed="false">
      <c r="A79" s="2" t="s">
        <v>24</v>
      </c>
      <c r="B79" s="2" t="s">
        <v>27</v>
      </c>
      <c r="C79" s="2" t="s">
        <v>27</v>
      </c>
      <c r="D79" s="2" t="s">
        <v>366</v>
      </c>
      <c r="E79" s="7" t="n">
        <v>12</v>
      </c>
      <c r="F79" s="8" t="n">
        <v>84</v>
      </c>
      <c r="G79" s="2"/>
      <c r="H79" s="8" t="n">
        <v>7</v>
      </c>
      <c r="I79" s="9" t="n">
        <f aca="false">H79*(1-$N$2)</f>
        <v>6.44</v>
      </c>
      <c r="J79" s="12"/>
      <c r="K79" s="13" t="str">
        <f aca="false">IF(N(J79)=0,"",(J79-I79)/J79)</f>
        <v/>
      </c>
    </row>
    <row r="80" customFormat="false" ht="15" hidden="false" customHeight="false" outlineLevel="0" collapsed="false">
      <c r="A80" s="2" t="s">
        <v>24</v>
      </c>
      <c r="B80" s="2" t="s">
        <v>27</v>
      </c>
      <c r="C80" s="2" t="s">
        <v>367</v>
      </c>
      <c r="D80" s="2" t="s">
        <v>368</v>
      </c>
      <c r="E80" s="7" t="n">
        <v>12</v>
      </c>
      <c r="F80" s="8" t="n">
        <v>90</v>
      </c>
      <c r="G80" s="2"/>
      <c r="H80" s="8" t="n">
        <v>7.5</v>
      </c>
      <c r="I80" s="9" t="n">
        <f aca="false">H80*(1-$N$2)</f>
        <v>6.9</v>
      </c>
      <c r="J80" s="12"/>
      <c r="K80" s="13" t="str">
        <f aca="false">IF(N(J80)=0,"",(J80-I80)/J80)</f>
        <v/>
      </c>
    </row>
    <row r="81" customFormat="false" ht="15" hidden="false" customHeight="false" outlineLevel="0" collapsed="false">
      <c r="A81" s="2" t="s">
        <v>24</v>
      </c>
      <c r="B81" s="2" t="s">
        <v>29</v>
      </c>
      <c r="C81" s="2" t="s">
        <v>369</v>
      </c>
      <c r="D81" s="2" t="s">
        <v>370</v>
      </c>
      <c r="E81" s="7" t="n">
        <v>12</v>
      </c>
      <c r="F81" s="8" t="n">
        <v>96</v>
      </c>
      <c r="G81" s="2" t="s">
        <v>371</v>
      </c>
      <c r="H81" s="8" t="n">
        <v>8</v>
      </c>
      <c r="I81" s="9" t="n">
        <f aca="false">H81*(1-$N$2)</f>
        <v>7.36</v>
      </c>
      <c r="J81" s="12"/>
      <c r="K81" s="13" t="str">
        <f aca="false">IF(N(J81)=0,"",(J81-I81)/J81)</f>
        <v/>
      </c>
    </row>
    <row r="82" customFormat="false" ht="15" hidden="false" customHeight="false" outlineLevel="0" collapsed="false">
      <c r="A82" s="2" t="s">
        <v>24</v>
      </c>
      <c r="B82" s="2" t="s">
        <v>29</v>
      </c>
      <c r="C82" s="2" t="s">
        <v>372</v>
      </c>
      <c r="D82" s="2" t="s">
        <v>373</v>
      </c>
      <c r="E82" s="7" t="n">
        <v>12</v>
      </c>
      <c r="F82" s="8" t="n">
        <v>114</v>
      </c>
      <c r="G82" s="2"/>
      <c r="H82" s="8" t="n">
        <v>9.5</v>
      </c>
      <c r="I82" s="9" t="n">
        <f aca="false">H82*(1-$N$2)</f>
        <v>8.74</v>
      </c>
      <c r="J82" s="12"/>
      <c r="K82" s="13" t="str">
        <f aca="false">IF(N(J82)=0,"",(J82-I82)/J82)</f>
        <v/>
      </c>
    </row>
    <row r="83" customFormat="false" ht="15" hidden="false" customHeight="false" outlineLevel="0" collapsed="false">
      <c r="A83" s="2" t="s">
        <v>24</v>
      </c>
      <c r="B83" s="2" t="s">
        <v>29</v>
      </c>
      <c r="C83" s="2" t="s">
        <v>374</v>
      </c>
      <c r="D83" s="2" t="s">
        <v>375</v>
      </c>
      <c r="E83" s="7" t="n">
        <v>6</v>
      </c>
      <c r="F83" s="8" t="n">
        <v>54</v>
      </c>
      <c r="G83" s="2"/>
      <c r="H83" s="8" t="n">
        <v>9</v>
      </c>
      <c r="I83" s="9" t="n">
        <f aca="false">H83*(1-$N$2)</f>
        <v>8.28</v>
      </c>
      <c r="J83" s="12"/>
      <c r="K83" s="13" t="str">
        <f aca="false">IF(N(J83)=0,"",(J83-I83)/J83)</f>
        <v/>
      </c>
    </row>
    <row r="84" customFormat="false" ht="15" hidden="false" customHeight="false" outlineLevel="0" collapsed="false">
      <c r="A84" s="2" t="s">
        <v>24</v>
      </c>
      <c r="B84" s="2" t="s">
        <v>29</v>
      </c>
      <c r="C84" s="2" t="s">
        <v>376</v>
      </c>
      <c r="D84" s="2" t="s">
        <v>377</v>
      </c>
      <c r="E84" s="7" t="n">
        <v>12</v>
      </c>
      <c r="F84" s="8" t="n">
        <v>120</v>
      </c>
      <c r="G84" s="2"/>
      <c r="H84" s="8" t="n">
        <v>10</v>
      </c>
      <c r="I84" s="9" t="n">
        <f aca="false">H84*(1-$N$2)</f>
        <v>9.2</v>
      </c>
      <c r="J84" s="12"/>
      <c r="K84" s="13" t="str">
        <f aca="false">IF(N(J84)=0,"",(J84-I84)/J84)</f>
        <v/>
      </c>
    </row>
    <row r="85" customFormat="false" ht="15" hidden="false" customHeight="false" outlineLevel="0" collapsed="false">
      <c r="A85" s="2" t="s">
        <v>24</v>
      </c>
      <c r="B85" s="2" t="s">
        <v>29</v>
      </c>
      <c r="C85" s="2" t="s">
        <v>378</v>
      </c>
      <c r="D85" s="2" t="s">
        <v>379</v>
      </c>
      <c r="E85" s="7" t="n">
        <v>12</v>
      </c>
      <c r="F85" s="8" t="n">
        <v>132</v>
      </c>
      <c r="G85" s="2"/>
      <c r="H85" s="8" t="n">
        <v>11</v>
      </c>
      <c r="I85" s="9" t="n">
        <f aca="false">H85*(1-$N$2)</f>
        <v>10.12</v>
      </c>
      <c r="J85" s="12"/>
      <c r="K85" s="13" t="str">
        <f aca="false">IF(N(J85)=0,"",(J85-I85)/J85)</f>
        <v/>
      </c>
    </row>
    <row r="86" customFormat="false" ht="15" hidden="false" customHeight="false" outlineLevel="0" collapsed="false">
      <c r="A86" s="2" t="s">
        <v>24</v>
      </c>
      <c r="B86" s="2" t="s">
        <v>34</v>
      </c>
      <c r="C86" s="2" t="s">
        <v>380</v>
      </c>
      <c r="D86" s="2" t="s">
        <v>381</v>
      </c>
      <c r="E86" s="7" t="n">
        <v>12</v>
      </c>
      <c r="F86" s="8" t="n">
        <v>90</v>
      </c>
      <c r="G86" s="2"/>
      <c r="H86" s="8" t="n">
        <v>7.5</v>
      </c>
      <c r="I86" s="9" t="n">
        <f aca="false">H86*(1-$N$2)</f>
        <v>6.9</v>
      </c>
      <c r="J86" s="12"/>
      <c r="K86" s="13" t="str">
        <f aca="false">IF(N(J86)=0,"",(J86-I86)/J86)</f>
        <v/>
      </c>
    </row>
    <row r="87" customFormat="false" ht="15" hidden="false" customHeight="false" outlineLevel="0" collapsed="false">
      <c r="A87" s="2" t="s">
        <v>24</v>
      </c>
      <c r="B87" s="2" t="s">
        <v>34</v>
      </c>
      <c r="C87" s="2" t="s">
        <v>382</v>
      </c>
      <c r="D87" s="2" t="s">
        <v>383</v>
      </c>
      <c r="E87" s="7" t="n">
        <v>12</v>
      </c>
      <c r="F87" s="8" t="n">
        <v>102</v>
      </c>
      <c r="G87" s="2"/>
      <c r="H87" s="8" t="n">
        <v>8.5</v>
      </c>
      <c r="I87" s="9" t="n">
        <f aca="false">H87*(1-$N$2)</f>
        <v>7.82</v>
      </c>
      <c r="J87" s="12"/>
      <c r="K87" s="13" t="str">
        <f aca="false">IF(N(J87)=0,"",(J87-I87)/J87)</f>
        <v/>
      </c>
    </row>
    <row r="88" customFormat="false" ht="15" hidden="false" customHeight="false" outlineLevel="0" collapsed="false">
      <c r="A88" s="2" t="s">
        <v>24</v>
      </c>
      <c r="B88" s="2" t="s">
        <v>34</v>
      </c>
      <c r="C88" s="2" t="s">
        <v>384</v>
      </c>
      <c r="D88" s="2" t="s">
        <v>385</v>
      </c>
      <c r="E88" s="7" t="n">
        <v>12</v>
      </c>
      <c r="F88" s="8" t="n">
        <v>108</v>
      </c>
      <c r="G88" s="2"/>
      <c r="H88" s="8" t="n">
        <v>9</v>
      </c>
      <c r="I88" s="9" t="n">
        <f aca="false">H88*(1-$N$2)</f>
        <v>8.28</v>
      </c>
      <c r="J88" s="12"/>
      <c r="K88" s="13" t="str">
        <f aca="false">IF(N(J88)=0,"",(J88-I88)/J88)</f>
        <v/>
      </c>
    </row>
    <row r="89" customFormat="false" ht="15" hidden="false" customHeight="false" outlineLevel="0" collapsed="false">
      <c r="A89" s="2" t="s">
        <v>24</v>
      </c>
      <c r="B89" s="2" t="s">
        <v>34</v>
      </c>
      <c r="C89" s="2" t="s">
        <v>386</v>
      </c>
      <c r="D89" s="2" t="s">
        <v>387</v>
      </c>
      <c r="E89" s="7" t="n">
        <v>12</v>
      </c>
      <c r="F89" s="8" t="n">
        <v>120</v>
      </c>
      <c r="G89" s="2"/>
      <c r="H89" s="8" t="n">
        <v>10</v>
      </c>
      <c r="I89" s="9" t="n">
        <f aca="false">H89*(1-$N$2)</f>
        <v>9.2</v>
      </c>
      <c r="J89" s="12"/>
      <c r="K89" s="13" t="str">
        <f aca="false">IF(N(J89)=0,"",(J89-I89)/J89)</f>
        <v/>
      </c>
    </row>
    <row r="90" customFormat="false" ht="15" hidden="false" customHeight="false" outlineLevel="0" collapsed="false">
      <c r="A90" s="2" t="s">
        <v>24</v>
      </c>
      <c r="B90" s="2" t="s">
        <v>34</v>
      </c>
      <c r="C90" s="2" t="s">
        <v>388</v>
      </c>
      <c r="D90" s="2" t="s">
        <v>389</v>
      </c>
      <c r="E90" s="7" t="n">
        <v>12</v>
      </c>
      <c r="F90" s="8" t="n">
        <v>132</v>
      </c>
      <c r="G90" s="2"/>
      <c r="H90" s="8" t="n">
        <v>11</v>
      </c>
      <c r="I90" s="9" t="n">
        <f aca="false">H90*(1-$N$2)</f>
        <v>10.12</v>
      </c>
      <c r="J90" s="12"/>
      <c r="K90" s="13" t="str">
        <f aca="false">IF(N(J90)=0,"",(J90-I90)/J90)</f>
        <v/>
      </c>
    </row>
    <row r="91" customFormat="false" ht="15" hidden="false" customHeight="false" outlineLevel="0" collapsed="false">
      <c r="A91" s="2" t="s">
        <v>24</v>
      </c>
      <c r="B91" s="2" t="s">
        <v>34</v>
      </c>
      <c r="C91" s="2" t="s">
        <v>390</v>
      </c>
      <c r="D91" s="2" t="s">
        <v>391</v>
      </c>
      <c r="E91" s="7" t="n">
        <v>12</v>
      </c>
      <c r="F91" s="8" t="n">
        <v>144</v>
      </c>
      <c r="G91" s="2"/>
      <c r="H91" s="8" t="n">
        <v>12</v>
      </c>
      <c r="I91" s="9" t="n">
        <f aca="false">H91*(1-$N$2)</f>
        <v>11.04</v>
      </c>
      <c r="J91" s="12"/>
      <c r="K91" s="13" t="str">
        <f aca="false">IF(N(J91)=0,"",(J91-I91)/J91)</f>
        <v/>
      </c>
    </row>
    <row r="92" customFormat="false" ht="15" hidden="false" customHeight="false" outlineLevel="0" collapsed="false">
      <c r="A92" s="2" t="s">
        <v>24</v>
      </c>
      <c r="B92" s="2" t="s">
        <v>34</v>
      </c>
      <c r="C92" s="2" t="s">
        <v>173</v>
      </c>
      <c r="D92" s="2" t="s">
        <v>173</v>
      </c>
      <c r="E92" s="7" t="n">
        <v>12</v>
      </c>
      <c r="F92" s="8" t="n">
        <v>66</v>
      </c>
      <c r="G92" s="2" t="s">
        <v>392</v>
      </c>
      <c r="H92" s="8" t="n">
        <v>5.5</v>
      </c>
      <c r="I92" s="9" t="n">
        <f aca="false">H92*(1-$N$2)</f>
        <v>5.06</v>
      </c>
      <c r="J92" s="12"/>
      <c r="K92" s="13" t="str">
        <f aca="false">IF(N(J92)=0,"",(J92-I92)/J92)</f>
        <v/>
      </c>
    </row>
    <row r="93" customFormat="false" ht="15" hidden="false" customHeight="false" outlineLevel="0" collapsed="false">
      <c r="A93" s="2" t="s">
        <v>24</v>
      </c>
      <c r="B93" s="2" t="s">
        <v>34</v>
      </c>
      <c r="C93" s="2" t="s">
        <v>393</v>
      </c>
      <c r="D93" s="2" t="s">
        <v>393</v>
      </c>
      <c r="E93" s="7" t="n">
        <v>12</v>
      </c>
      <c r="F93" s="8" t="n">
        <v>90</v>
      </c>
      <c r="G93" s="2" t="s">
        <v>392</v>
      </c>
      <c r="H93" s="8" t="n">
        <v>7.5</v>
      </c>
      <c r="I93" s="9" t="n">
        <f aca="false">H93*(1-$N$2)</f>
        <v>6.9</v>
      </c>
      <c r="J93" s="12"/>
      <c r="K93" s="13" t="str">
        <f aca="false">IF(N(J93)=0,"",(J93-I93)/J93)</f>
        <v/>
      </c>
    </row>
    <row r="94" customFormat="false" ht="15" hidden="false" customHeight="false" outlineLevel="0" collapsed="false">
      <c r="A94" s="2" t="s">
        <v>24</v>
      </c>
      <c r="B94" s="2" t="s">
        <v>34</v>
      </c>
      <c r="C94" s="2" t="s">
        <v>394</v>
      </c>
      <c r="D94" s="2" t="s">
        <v>394</v>
      </c>
      <c r="E94" s="7" t="n">
        <v>12</v>
      </c>
      <c r="F94" s="8" t="n">
        <v>108</v>
      </c>
      <c r="G94" s="2" t="s">
        <v>392</v>
      </c>
      <c r="H94" s="8" t="n">
        <v>9</v>
      </c>
      <c r="I94" s="9" t="n">
        <f aca="false">H94*(1-$N$2)</f>
        <v>8.28</v>
      </c>
      <c r="J94" s="12"/>
      <c r="K94" s="13" t="str">
        <f aca="false">IF(N(J94)=0,"",(J94-I94)/J94)</f>
        <v/>
      </c>
    </row>
    <row r="95" customFormat="false" ht="15" hidden="false" customHeight="false" outlineLevel="0" collapsed="false">
      <c r="A95" s="2" t="s">
        <v>24</v>
      </c>
      <c r="B95" s="2" t="s">
        <v>34</v>
      </c>
      <c r="C95" s="2" t="s">
        <v>175</v>
      </c>
      <c r="D95" s="2" t="s">
        <v>175</v>
      </c>
      <c r="E95" s="7" t="n">
        <v>12</v>
      </c>
      <c r="F95" s="8" t="n">
        <v>144</v>
      </c>
      <c r="G95" s="2" t="s">
        <v>392</v>
      </c>
      <c r="H95" s="8" t="n">
        <v>12</v>
      </c>
      <c r="I95" s="9" t="n">
        <f aca="false">H95*(1-$N$2)</f>
        <v>11.04</v>
      </c>
      <c r="J95" s="12"/>
      <c r="K95" s="13" t="str">
        <f aca="false">IF(N(J95)=0,"",(J95-I95)/J95)</f>
        <v/>
      </c>
    </row>
    <row r="96" customFormat="false" ht="15" hidden="false" customHeight="false" outlineLevel="0" collapsed="false">
      <c r="A96" s="2" t="s">
        <v>24</v>
      </c>
      <c r="B96" s="2" t="s">
        <v>34</v>
      </c>
      <c r="C96" s="2" t="s">
        <v>395</v>
      </c>
      <c r="D96" s="2" t="s">
        <v>396</v>
      </c>
      <c r="E96" s="7" t="n">
        <v>6</v>
      </c>
      <c r="F96" s="8" t="n">
        <v>48</v>
      </c>
      <c r="G96" s="2"/>
      <c r="H96" s="8" t="n">
        <v>8</v>
      </c>
      <c r="I96" s="9" t="n">
        <f aca="false">H96*(1-$N$2)</f>
        <v>7.36</v>
      </c>
      <c r="J96" s="12"/>
      <c r="K96" s="13" t="str">
        <f aca="false">IF(N(J96)=0,"",(J96-I96)/J96)</f>
        <v/>
      </c>
    </row>
    <row r="97" customFormat="false" ht="15" hidden="false" customHeight="false" outlineLevel="0" collapsed="false">
      <c r="A97" s="2" t="s">
        <v>24</v>
      </c>
      <c r="B97" s="2" t="s">
        <v>32</v>
      </c>
      <c r="C97" s="2" t="s">
        <v>397</v>
      </c>
      <c r="D97" s="2" t="s">
        <v>398</v>
      </c>
      <c r="E97" s="7" t="n">
        <v>12</v>
      </c>
      <c r="F97" s="8" t="n">
        <v>48</v>
      </c>
      <c r="G97" s="2"/>
      <c r="H97" s="8" t="n">
        <v>4</v>
      </c>
      <c r="I97" s="9" t="n">
        <f aca="false">H97*(1-$N$2)</f>
        <v>3.68</v>
      </c>
      <c r="J97" s="12"/>
      <c r="K97" s="13" t="str">
        <f aca="false">IF(N(J97)=0,"",(J97-I97)/J97)</f>
        <v/>
      </c>
    </row>
    <row r="98" customFormat="false" ht="15" hidden="false" customHeight="false" outlineLevel="0" collapsed="false">
      <c r="A98" s="2" t="s">
        <v>24</v>
      </c>
      <c r="B98" s="2" t="s">
        <v>32</v>
      </c>
      <c r="C98" s="2" t="s">
        <v>397</v>
      </c>
      <c r="D98" s="2" t="s">
        <v>399</v>
      </c>
      <c r="E98" s="7" t="n">
        <v>12</v>
      </c>
      <c r="F98" s="8" t="n">
        <v>58</v>
      </c>
      <c r="G98" s="2"/>
      <c r="H98" s="8" t="n">
        <v>4.83</v>
      </c>
      <c r="I98" s="9" t="n">
        <f aca="false">H98*(1-$N$2)</f>
        <v>4.4436</v>
      </c>
      <c r="J98" s="12"/>
      <c r="K98" s="13" t="str">
        <f aca="false">IF(N(J98)=0,"",(J98-I98)/J98)</f>
        <v/>
      </c>
    </row>
    <row r="99" customFormat="false" ht="15" hidden="false" customHeight="false" outlineLevel="0" collapsed="false">
      <c r="A99" s="2" t="s">
        <v>24</v>
      </c>
      <c r="B99" s="2" t="s">
        <v>32</v>
      </c>
      <c r="C99" s="2" t="s">
        <v>400</v>
      </c>
      <c r="D99" s="2" t="s">
        <v>401</v>
      </c>
      <c r="E99" s="7" t="n">
        <v>12</v>
      </c>
      <c r="F99" s="8" t="n">
        <v>66</v>
      </c>
      <c r="G99" s="2"/>
      <c r="H99" s="8" t="n">
        <v>5.5</v>
      </c>
      <c r="I99" s="9" t="n">
        <f aca="false">H99*(1-$N$2)</f>
        <v>5.06</v>
      </c>
      <c r="J99" s="12"/>
      <c r="K99" s="13" t="str">
        <f aca="false">IF(N(J99)=0,"",(J99-I99)/J99)</f>
        <v/>
      </c>
    </row>
    <row r="100" customFormat="false" ht="15" hidden="false" customHeight="false" outlineLevel="0" collapsed="false">
      <c r="A100" s="2" t="s">
        <v>24</v>
      </c>
      <c r="B100" s="2" t="s">
        <v>32</v>
      </c>
      <c r="C100" s="2" t="s">
        <v>402</v>
      </c>
      <c r="D100" s="2" t="s">
        <v>403</v>
      </c>
      <c r="E100" s="7" t="n">
        <v>12</v>
      </c>
      <c r="F100" s="8" t="n">
        <v>72</v>
      </c>
      <c r="G100" s="2"/>
      <c r="H100" s="8" t="n">
        <v>6</v>
      </c>
      <c r="I100" s="9" t="n">
        <f aca="false">H100*(1-$N$2)</f>
        <v>5.52</v>
      </c>
      <c r="J100" s="12"/>
      <c r="K100" s="13" t="str">
        <f aca="false">IF(N(J100)=0,"",(J100-I100)/J100)</f>
        <v/>
      </c>
    </row>
    <row r="101" customFormat="false" ht="15" hidden="false" customHeight="false" outlineLevel="0" collapsed="false">
      <c r="A101" s="2" t="s">
        <v>24</v>
      </c>
      <c r="B101" s="2" t="s">
        <v>32</v>
      </c>
      <c r="C101" s="2" t="s">
        <v>404</v>
      </c>
      <c r="D101" s="2" t="s">
        <v>405</v>
      </c>
      <c r="E101" s="7" t="n">
        <v>12</v>
      </c>
      <c r="F101" s="8" t="n">
        <v>84</v>
      </c>
      <c r="G101" s="2"/>
      <c r="H101" s="8" t="n">
        <v>7</v>
      </c>
      <c r="I101" s="9" t="n">
        <f aca="false">H101*(1-$N$2)</f>
        <v>6.44</v>
      </c>
      <c r="J101" s="12"/>
      <c r="K101" s="13" t="str">
        <f aca="false">IF(N(J101)=0,"",(J101-I101)/J101)</f>
        <v/>
      </c>
    </row>
    <row r="102" customFormat="false" ht="15" hidden="false" customHeight="false" outlineLevel="0" collapsed="false">
      <c r="A102" s="2" t="s">
        <v>24</v>
      </c>
      <c r="B102" s="2" t="s">
        <v>32</v>
      </c>
      <c r="C102" s="2" t="s">
        <v>406</v>
      </c>
      <c r="D102" s="2" t="s">
        <v>407</v>
      </c>
      <c r="E102" s="7" t="n">
        <v>12</v>
      </c>
      <c r="F102" s="8" t="n">
        <v>96</v>
      </c>
      <c r="G102" s="2" t="s">
        <v>408</v>
      </c>
      <c r="H102" s="8" t="n">
        <v>8</v>
      </c>
      <c r="I102" s="9" t="n">
        <f aca="false">H102*(1-$N$2)</f>
        <v>7.36</v>
      </c>
      <c r="J102" s="12"/>
      <c r="K102" s="13" t="str">
        <f aca="false">IF(N(J102)=0,"",(J102-I102)/J102)</f>
        <v/>
      </c>
    </row>
    <row r="103" customFormat="false" ht="15" hidden="false" customHeight="false" outlineLevel="0" collapsed="false">
      <c r="A103" s="2" t="s">
        <v>24</v>
      </c>
      <c r="B103" s="2" t="s">
        <v>32</v>
      </c>
      <c r="C103" s="2" t="s">
        <v>409</v>
      </c>
      <c r="D103" s="2" t="s">
        <v>410</v>
      </c>
      <c r="E103" s="7" t="n">
        <v>12</v>
      </c>
      <c r="F103" s="8" t="n">
        <v>120</v>
      </c>
      <c r="G103" s="2"/>
      <c r="H103" s="8" t="n">
        <v>10</v>
      </c>
      <c r="I103" s="9" t="n">
        <f aca="false">H103*(1-$N$2)</f>
        <v>9.2</v>
      </c>
      <c r="J103" s="12"/>
      <c r="K103" s="13" t="str">
        <f aca="false">IF(N(J103)=0,"",(J103-I103)/J103)</f>
        <v/>
      </c>
    </row>
    <row r="104" customFormat="false" ht="15" hidden="false" customHeight="false" outlineLevel="0" collapsed="false">
      <c r="A104" s="2" t="s">
        <v>24</v>
      </c>
      <c r="B104" s="2" t="s">
        <v>32</v>
      </c>
      <c r="C104" s="2" t="s">
        <v>411</v>
      </c>
      <c r="D104" s="2" t="s">
        <v>412</v>
      </c>
      <c r="E104" s="7" t="n">
        <v>12</v>
      </c>
      <c r="F104" s="8" t="n">
        <v>132</v>
      </c>
      <c r="G104" s="2"/>
      <c r="H104" s="8" t="n">
        <v>11</v>
      </c>
      <c r="I104" s="9" t="n">
        <f aca="false">H104*(1-$N$2)</f>
        <v>10.12</v>
      </c>
      <c r="J104" s="12"/>
      <c r="K104" s="13" t="str">
        <f aca="false">IF(N(J104)=0,"",(J104-I104)/J104)</f>
        <v/>
      </c>
    </row>
    <row r="105" customFormat="false" ht="15" hidden="false" customHeight="false" outlineLevel="0" collapsed="false">
      <c r="A105" s="2" t="s">
        <v>24</v>
      </c>
      <c r="B105" s="2" t="s">
        <v>22</v>
      </c>
      <c r="C105" s="2" t="s">
        <v>413</v>
      </c>
      <c r="D105" s="2" t="s">
        <v>414</v>
      </c>
      <c r="E105" s="7" t="n">
        <v>12</v>
      </c>
      <c r="F105" s="8" t="n">
        <v>27</v>
      </c>
      <c r="G105" s="2"/>
      <c r="H105" s="8" t="n">
        <v>2.25</v>
      </c>
      <c r="I105" s="9" t="n">
        <f aca="false">H105*(1-$N$2)</f>
        <v>2.07</v>
      </c>
      <c r="J105" s="12"/>
      <c r="K105" s="13" t="str">
        <f aca="false">IF(N(J105)=0,"",(J105-I105)/J105)</f>
        <v/>
      </c>
    </row>
    <row r="106" customFormat="false" ht="15" hidden="false" customHeight="false" outlineLevel="0" collapsed="false">
      <c r="A106" s="2" t="s">
        <v>24</v>
      </c>
      <c r="B106" s="2" t="s">
        <v>183</v>
      </c>
      <c r="C106" s="2" t="s">
        <v>415</v>
      </c>
      <c r="D106" s="2" t="s">
        <v>416</v>
      </c>
      <c r="E106" s="7" t="n">
        <v>12</v>
      </c>
      <c r="F106" s="8" t="n">
        <v>28</v>
      </c>
      <c r="G106" s="2"/>
      <c r="H106" s="8" t="n">
        <v>2.33</v>
      </c>
      <c r="I106" s="9" t="n">
        <f aca="false">H106*(1-$N$2)</f>
        <v>2.1436</v>
      </c>
      <c r="J106" s="12"/>
      <c r="K106" s="13" t="str">
        <f aca="false">IF(N(J106)=0,"",(J106-I106)/J106)</f>
        <v/>
      </c>
    </row>
    <row r="107" customFormat="false" ht="15" hidden="false" customHeight="false" outlineLevel="0" collapsed="false">
      <c r="A107" s="2" t="s">
        <v>24</v>
      </c>
      <c r="B107" s="2" t="s">
        <v>183</v>
      </c>
      <c r="C107" s="2" t="s">
        <v>417</v>
      </c>
      <c r="D107" s="2" t="s">
        <v>418</v>
      </c>
      <c r="E107" s="7" t="n">
        <v>12</v>
      </c>
      <c r="F107" s="8" t="n">
        <v>54</v>
      </c>
      <c r="G107" s="2" t="s">
        <v>419</v>
      </c>
      <c r="H107" s="8" t="n">
        <v>4</v>
      </c>
      <c r="I107" s="9" t="n">
        <f aca="false">H107*(1-$N$2)</f>
        <v>3.68</v>
      </c>
      <c r="J107" s="12"/>
      <c r="K107" s="13" t="str">
        <f aca="false">IF(N(J107)=0,"",(J107-I107)/J107)</f>
        <v/>
      </c>
    </row>
    <row r="108" customFormat="false" ht="15" hidden="false" customHeight="false" outlineLevel="0" collapsed="false">
      <c r="A108" s="2" t="s">
        <v>24</v>
      </c>
      <c r="B108" s="2" t="s">
        <v>183</v>
      </c>
      <c r="C108" s="2" t="s">
        <v>420</v>
      </c>
      <c r="D108" s="2" t="s">
        <v>421</v>
      </c>
      <c r="E108" s="7" t="n">
        <v>12</v>
      </c>
      <c r="F108" s="8" t="n">
        <v>72</v>
      </c>
      <c r="G108" s="2"/>
      <c r="H108" s="8" t="n">
        <v>6</v>
      </c>
      <c r="I108" s="9" t="n">
        <f aca="false">H108*(1-$N$2)</f>
        <v>5.52</v>
      </c>
      <c r="J108" s="12"/>
      <c r="K108" s="13" t="str">
        <f aca="false">IF(N(J108)=0,"",(J108-I108)/J108)</f>
        <v/>
      </c>
    </row>
    <row r="109" customFormat="false" ht="15" hidden="false" customHeight="false" outlineLevel="0" collapsed="false">
      <c r="A109" s="2" t="s">
        <v>24</v>
      </c>
      <c r="B109" s="2" t="s">
        <v>38</v>
      </c>
      <c r="C109" s="2" t="s">
        <v>422</v>
      </c>
      <c r="D109" s="2" t="s">
        <v>423</v>
      </c>
      <c r="E109" s="7" t="n">
        <v>12</v>
      </c>
      <c r="F109" s="8" t="n">
        <v>45</v>
      </c>
      <c r="G109" s="2" t="s">
        <v>330</v>
      </c>
      <c r="H109" s="8" t="n">
        <v>3.75</v>
      </c>
      <c r="I109" s="9" t="n">
        <f aca="false">H109*(1-$N$2)</f>
        <v>3.45</v>
      </c>
      <c r="J109" s="12"/>
      <c r="K109" s="13" t="str">
        <f aca="false">IF(N(J109)=0,"",(J109-I109)/J109)</f>
        <v/>
      </c>
    </row>
    <row r="110" customFormat="false" ht="15" hidden="false" customHeight="false" outlineLevel="0" collapsed="false">
      <c r="A110" s="2" t="s">
        <v>24</v>
      </c>
      <c r="B110" s="2" t="s">
        <v>38</v>
      </c>
      <c r="C110" s="2" t="s">
        <v>422</v>
      </c>
      <c r="D110" s="2" t="s">
        <v>424</v>
      </c>
      <c r="E110" s="7" t="n">
        <v>12</v>
      </c>
      <c r="F110" s="8" t="n">
        <v>60</v>
      </c>
      <c r="G110" s="2" t="s">
        <v>330</v>
      </c>
      <c r="H110" s="8" t="n">
        <v>5</v>
      </c>
      <c r="I110" s="9" t="n">
        <f aca="false">H110*(1-$N$2)</f>
        <v>4.6</v>
      </c>
      <c r="J110" s="12"/>
      <c r="K110" s="13" t="str">
        <f aca="false">IF(N(J110)=0,"",(J110-I110)/J110)</f>
        <v/>
      </c>
    </row>
    <row r="111" customFormat="false" ht="15" hidden="false" customHeight="false" outlineLevel="0" collapsed="false">
      <c r="A111" s="2" t="s">
        <v>24</v>
      </c>
      <c r="B111" s="2" t="s">
        <v>38</v>
      </c>
      <c r="C111" s="2" t="s">
        <v>422</v>
      </c>
      <c r="D111" s="2" t="s">
        <v>425</v>
      </c>
      <c r="E111" s="7" t="n">
        <v>12</v>
      </c>
      <c r="F111" s="8" t="n">
        <v>72</v>
      </c>
      <c r="G111" s="2" t="s">
        <v>330</v>
      </c>
      <c r="H111" s="8" t="n">
        <v>6</v>
      </c>
      <c r="I111" s="9" t="n">
        <f aca="false">H111*(1-$N$2)</f>
        <v>5.52</v>
      </c>
      <c r="J111" s="12"/>
      <c r="K111" s="13" t="str">
        <f aca="false">IF(N(J111)=0,"",(J111-I111)/J111)</f>
        <v/>
      </c>
    </row>
    <row r="112" customFormat="false" ht="15" hidden="false" customHeight="false" outlineLevel="0" collapsed="false">
      <c r="A112" s="2" t="s">
        <v>24</v>
      </c>
      <c r="B112" s="2" t="s">
        <v>38</v>
      </c>
      <c r="C112" s="2" t="s">
        <v>422</v>
      </c>
      <c r="D112" s="2" t="s">
        <v>426</v>
      </c>
      <c r="E112" s="7" t="n">
        <v>12</v>
      </c>
      <c r="F112" s="8" t="n">
        <v>90</v>
      </c>
      <c r="G112" s="2" t="s">
        <v>330</v>
      </c>
      <c r="H112" s="8" t="n">
        <v>7.5</v>
      </c>
      <c r="I112" s="9" t="n">
        <f aca="false">H112*(1-$N$2)</f>
        <v>6.9</v>
      </c>
      <c r="J112" s="12"/>
      <c r="K112" s="13" t="str">
        <f aca="false">IF(N(J112)=0,"",(J112-I112)/J112)</f>
        <v/>
      </c>
    </row>
    <row r="113" customFormat="false" ht="15" hidden="false" customHeight="false" outlineLevel="0" collapsed="false">
      <c r="A113" s="2" t="s">
        <v>24</v>
      </c>
      <c r="B113" s="2" t="s">
        <v>38</v>
      </c>
      <c r="C113" s="2" t="s">
        <v>422</v>
      </c>
      <c r="D113" s="2" t="s">
        <v>427</v>
      </c>
      <c r="E113" s="7" t="n">
        <v>12</v>
      </c>
      <c r="F113" s="8" t="n">
        <v>96</v>
      </c>
      <c r="G113" s="2" t="s">
        <v>330</v>
      </c>
      <c r="H113" s="8" t="n">
        <v>8</v>
      </c>
      <c r="I113" s="9" t="n">
        <f aca="false">H113*(1-$N$2)</f>
        <v>7.36</v>
      </c>
      <c r="J113" s="12"/>
      <c r="K113" s="13" t="str">
        <f aca="false">IF(N(J113)=0,"",(J113-I113)/J113)</f>
        <v/>
      </c>
    </row>
    <row r="114" customFormat="false" ht="15" hidden="false" customHeight="false" outlineLevel="0" collapsed="false">
      <c r="A114" s="2" t="s">
        <v>24</v>
      </c>
      <c r="B114" s="2" t="s">
        <v>38</v>
      </c>
      <c r="C114" s="2" t="s">
        <v>422</v>
      </c>
      <c r="D114" s="2" t="s">
        <v>428</v>
      </c>
      <c r="E114" s="7" t="n">
        <v>12</v>
      </c>
      <c r="F114" s="8" t="n">
        <v>126</v>
      </c>
      <c r="G114" s="2" t="s">
        <v>330</v>
      </c>
      <c r="H114" s="8" t="n">
        <v>10.5</v>
      </c>
      <c r="I114" s="9" t="n">
        <f aca="false">H114*(1-$N$2)</f>
        <v>9.66</v>
      </c>
      <c r="J114" s="12"/>
      <c r="K114" s="13" t="str">
        <f aca="false">IF(N(J114)=0,"",(J114-I114)/J114)</f>
        <v/>
      </c>
    </row>
    <row r="115" customFormat="false" ht="15" hidden="false" customHeight="false" outlineLevel="0" collapsed="false">
      <c r="A115" s="2" t="s">
        <v>24</v>
      </c>
      <c r="B115" s="2" t="s">
        <v>38</v>
      </c>
      <c r="C115" s="2" t="s">
        <v>422</v>
      </c>
      <c r="D115" s="2" t="s">
        <v>429</v>
      </c>
      <c r="E115" s="7" t="n">
        <v>12</v>
      </c>
      <c r="F115" s="8" t="n">
        <v>156</v>
      </c>
      <c r="G115" s="2" t="s">
        <v>330</v>
      </c>
      <c r="H115" s="8" t="n">
        <v>13</v>
      </c>
      <c r="I115" s="9" t="n">
        <f aca="false">H115*(1-$N$2)</f>
        <v>11.96</v>
      </c>
      <c r="J115" s="12"/>
      <c r="K115" s="13" t="str">
        <f aca="false">IF(N(J115)=0,"",(J115-I115)/J115)</f>
        <v/>
      </c>
    </row>
    <row r="116" customFormat="false" ht="15" hidden="false" customHeight="false" outlineLevel="0" collapsed="false">
      <c r="A116" s="2" t="s">
        <v>24</v>
      </c>
      <c r="B116" s="2" t="s">
        <v>38</v>
      </c>
      <c r="C116" s="2" t="s">
        <v>430</v>
      </c>
      <c r="D116" s="2" t="s">
        <v>431</v>
      </c>
      <c r="E116" s="7" t="n">
        <v>12</v>
      </c>
      <c r="F116" s="8" t="n">
        <v>36</v>
      </c>
      <c r="G116" s="2" t="s">
        <v>330</v>
      </c>
      <c r="H116" s="8" t="n">
        <v>3</v>
      </c>
      <c r="I116" s="9" t="n">
        <f aca="false">H116*(1-$N$2)</f>
        <v>2.76</v>
      </c>
      <c r="J116" s="12"/>
      <c r="K116" s="13" t="str">
        <f aca="false">IF(N(J116)=0,"",(J116-I116)/J116)</f>
        <v/>
      </c>
    </row>
    <row r="117" customFormat="false" ht="15" hidden="false" customHeight="false" outlineLevel="0" collapsed="false">
      <c r="A117" s="2" t="s">
        <v>24</v>
      </c>
      <c r="B117" s="2" t="s">
        <v>38</v>
      </c>
      <c r="C117" s="2" t="s">
        <v>430</v>
      </c>
      <c r="D117" s="2" t="s">
        <v>432</v>
      </c>
      <c r="E117" s="7" t="n">
        <v>12</v>
      </c>
      <c r="F117" s="8" t="n">
        <v>48</v>
      </c>
      <c r="G117" s="2" t="s">
        <v>330</v>
      </c>
      <c r="H117" s="8" t="n">
        <v>4</v>
      </c>
      <c r="I117" s="9" t="n">
        <f aca="false">H117*(1-$N$2)</f>
        <v>3.68</v>
      </c>
      <c r="J117" s="12"/>
      <c r="K117" s="13" t="str">
        <f aca="false">IF(N(J117)=0,"",(J117-I117)/J117)</f>
        <v/>
      </c>
    </row>
    <row r="118" customFormat="false" ht="15" hidden="false" customHeight="false" outlineLevel="0" collapsed="false">
      <c r="A118" s="2" t="s">
        <v>24</v>
      </c>
      <c r="B118" s="2" t="s">
        <v>38</v>
      </c>
      <c r="C118" s="2" t="s">
        <v>430</v>
      </c>
      <c r="D118" s="2" t="s">
        <v>433</v>
      </c>
      <c r="E118" s="7" t="n">
        <v>12</v>
      </c>
      <c r="F118" s="8" t="n">
        <v>54</v>
      </c>
      <c r="G118" s="2" t="s">
        <v>330</v>
      </c>
      <c r="H118" s="8" t="n">
        <v>4.5</v>
      </c>
      <c r="I118" s="9" t="n">
        <f aca="false">H118*(1-$N$2)</f>
        <v>4.14</v>
      </c>
      <c r="J118" s="12"/>
      <c r="K118" s="13" t="str">
        <f aca="false">IF(N(J118)=0,"",(J118-I118)/J118)</f>
        <v/>
      </c>
    </row>
    <row r="119" customFormat="false" ht="15" hidden="false" customHeight="false" outlineLevel="0" collapsed="false">
      <c r="A119" s="2" t="s">
        <v>24</v>
      </c>
      <c r="B119" s="2" t="s">
        <v>38</v>
      </c>
      <c r="C119" s="2" t="s">
        <v>430</v>
      </c>
      <c r="D119" s="2" t="s">
        <v>434</v>
      </c>
      <c r="E119" s="7" t="n">
        <v>12</v>
      </c>
      <c r="F119" s="8" t="n">
        <v>78</v>
      </c>
      <c r="G119" s="2" t="s">
        <v>330</v>
      </c>
      <c r="H119" s="8" t="n">
        <v>6.5</v>
      </c>
      <c r="I119" s="9" t="n">
        <f aca="false">H119*(1-$N$2)</f>
        <v>5.98</v>
      </c>
      <c r="J119" s="12"/>
      <c r="K119" s="13" t="str">
        <f aca="false">IF(N(J119)=0,"",(J119-I119)/J119)</f>
        <v/>
      </c>
    </row>
    <row r="120" customFormat="false" ht="15" hidden="false" customHeight="false" outlineLevel="0" collapsed="false">
      <c r="A120" s="2" t="s">
        <v>24</v>
      </c>
      <c r="B120" s="2" t="s">
        <v>38</v>
      </c>
      <c r="C120" s="2" t="s">
        <v>430</v>
      </c>
      <c r="D120" s="2" t="s">
        <v>435</v>
      </c>
      <c r="E120" s="7" t="n">
        <v>12</v>
      </c>
      <c r="F120" s="8" t="n">
        <v>156</v>
      </c>
      <c r="G120" s="2" t="s">
        <v>330</v>
      </c>
      <c r="H120" s="8" t="n">
        <v>13</v>
      </c>
      <c r="I120" s="9" t="n">
        <f aca="false">H120*(1-$N$2)</f>
        <v>11.96</v>
      </c>
      <c r="J120" s="12"/>
      <c r="K120" s="13" t="str">
        <f aca="false">IF(N(J120)=0,"",(J120-I120)/J120)</f>
        <v/>
      </c>
    </row>
    <row r="121" customFormat="false" ht="15" hidden="false" customHeight="false" outlineLevel="0" collapsed="false">
      <c r="A121" s="2" t="s">
        <v>24</v>
      </c>
      <c r="B121" s="2" t="s">
        <v>38</v>
      </c>
      <c r="C121" s="2" t="s">
        <v>436</v>
      </c>
      <c r="D121" s="2" t="s">
        <v>437</v>
      </c>
      <c r="E121" s="7" t="n">
        <v>12</v>
      </c>
      <c r="F121" s="8" t="n">
        <v>198</v>
      </c>
      <c r="G121" s="2" t="s">
        <v>330</v>
      </c>
      <c r="H121" s="8" t="n">
        <v>16.5</v>
      </c>
      <c r="I121" s="9" t="n">
        <f aca="false">H121*(1-$N$2)</f>
        <v>15.18</v>
      </c>
      <c r="J121" s="12"/>
      <c r="K121" s="13" t="str">
        <f aca="false">IF(N(J121)=0,"",(J121-I121)/J121)</f>
        <v/>
      </c>
    </row>
    <row r="122" customFormat="false" ht="15" hidden="false" customHeight="false" outlineLevel="0" collapsed="false">
      <c r="A122" s="2" t="s">
        <v>24</v>
      </c>
      <c r="B122" s="2" t="s">
        <v>38</v>
      </c>
      <c r="C122" s="2" t="s">
        <v>438</v>
      </c>
      <c r="D122" s="2" t="s">
        <v>439</v>
      </c>
      <c r="E122" s="7" t="n">
        <v>12</v>
      </c>
      <c r="F122" s="8" t="n">
        <v>45</v>
      </c>
      <c r="G122" s="2" t="s">
        <v>330</v>
      </c>
      <c r="H122" s="8" t="n">
        <v>3.75</v>
      </c>
      <c r="I122" s="9" t="n">
        <f aca="false">H122*(1-$N$2)</f>
        <v>3.45</v>
      </c>
      <c r="J122" s="12"/>
      <c r="K122" s="13" t="str">
        <f aca="false">IF(N(J122)=0,"",(J122-I122)/J122)</f>
        <v/>
      </c>
    </row>
    <row r="123" customFormat="false" ht="15" hidden="false" customHeight="false" outlineLevel="0" collapsed="false">
      <c r="A123" s="2" t="s">
        <v>24</v>
      </c>
      <c r="B123" s="2" t="s">
        <v>38</v>
      </c>
      <c r="C123" s="2" t="s">
        <v>440</v>
      </c>
      <c r="D123" s="2" t="s">
        <v>441</v>
      </c>
      <c r="E123" s="7" t="n">
        <v>12</v>
      </c>
      <c r="F123" s="8" t="n">
        <v>36</v>
      </c>
      <c r="G123" s="2" t="s">
        <v>330</v>
      </c>
      <c r="H123" s="8" t="n">
        <v>3</v>
      </c>
      <c r="I123" s="9" t="n">
        <f aca="false">H123*(1-$N$2)</f>
        <v>2.76</v>
      </c>
      <c r="J123" s="12"/>
      <c r="K123" s="13" t="str">
        <f aca="false">IF(N(J123)=0,"",(J123-I123)/J123)</f>
        <v/>
      </c>
    </row>
    <row r="124" customFormat="false" ht="15" hidden="false" customHeight="false" outlineLevel="0" collapsed="false">
      <c r="A124" s="2" t="s">
        <v>24</v>
      </c>
      <c r="B124" s="2" t="s">
        <v>38</v>
      </c>
      <c r="C124" s="2" t="s">
        <v>442</v>
      </c>
      <c r="D124" s="2" t="s">
        <v>443</v>
      </c>
      <c r="E124" s="7" t="n">
        <v>12</v>
      </c>
      <c r="F124" s="8" t="n">
        <v>108</v>
      </c>
      <c r="G124" s="2" t="s">
        <v>330</v>
      </c>
      <c r="H124" s="8" t="n">
        <v>9</v>
      </c>
      <c r="I124" s="9" t="n">
        <f aca="false">H124*(1-$N$2)</f>
        <v>8.28</v>
      </c>
      <c r="J124" s="12"/>
      <c r="K124" s="13" t="str">
        <f aca="false">IF(N(J124)=0,"",(J124-I124)/J124)</f>
        <v/>
      </c>
    </row>
    <row r="125" customFormat="false" ht="15" hidden="false" customHeight="false" outlineLevel="0" collapsed="false">
      <c r="A125" s="2" t="s">
        <v>24</v>
      </c>
      <c r="B125" s="2" t="s">
        <v>38</v>
      </c>
      <c r="C125" s="2" t="s">
        <v>444</v>
      </c>
      <c r="D125" s="2" t="s">
        <v>445</v>
      </c>
      <c r="E125" s="7" t="n">
        <v>12</v>
      </c>
      <c r="F125" s="8" t="n">
        <v>36</v>
      </c>
      <c r="G125" s="2" t="s">
        <v>446</v>
      </c>
      <c r="H125" s="8" t="n">
        <v>3</v>
      </c>
      <c r="I125" s="9" t="n">
        <f aca="false">H125*(1-$N$2)</f>
        <v>2.76</v>
      </c>
      <c r="J125" s="12"/>
      <c r="K125" s="13" t="str">
        <f aca="false">IF(N(J125)=0,"",(J125-I125)/J125)</f>
        <v/>
      </c>
    </row>
    <row r="126" customFormat="false" ht="15" hidden="false" customHeight="false" outlineLevel="0" collapsed="false">
      <c r="A126" s="2" t="s">
        <v>24</v>
      </c>
      <c r="B126" s="2" t="s">
        <v>40</v>
      </c>
      <c r="C126" s="2" t="s">
        <v>447</v>
      </c>
      <c r="D126" s="2" t="s">
        <v>448</v>
      </c>
      <c r="E126" s="7" t="n">
        <v>1</v>
      </c>
      <c r="F126" s="8" t="n">
        <v>7</v>
      </c>
      <c r="G126" s="2" t="s">
        <v>449</v>
      </c>
      <c r="H126" s="8" t="n">
        <v>7</v>
      </c>
      <c r="I126" s="9" t="n">
        <f aca="false">H126*(1-$N$2)</f>
        <v>6.44</v>
      </c>
      <c r="J126" s="12"/>
      <c r="K126" s="13" t="str">
        <f aca="false">IF(N(J126)=0,"",(J126-I126)/J126)</f>
        <v/>
      </c>
    </row>
    <row r="127" customFormat="false" ht="15" hidden="false" customHeight="false" outlineLevel="0" collapsed="false">
      <c r="A127" s="2" t="s">
        <v>24</v>
      </c>
      <c r="B127" s="2" t="s">
        <v>40</v>
      </c>
      <c r="C127" s="2" t="s">
        <v>447</v>
      </c>
      <c r="D127" s="2" t="s">
        <v>450</v>
      </c>
      <c r="E127" s="7" t="n">
        <v>1</v>
      </c>
      <c r="F127" s="8" t="n">
        <v>15</v>
      </c>
      <c r="G127" s="2"/>
      <c r="H127" s="8" t="n">
        <v>15</v>
      </c>
      <c r="I127" s="9" t="n">
        <f aca="false">H127*(1-$N$2)</f>
        <v>13.8</v>
      </c>
      <c r="J127" s="12"/>
      <c r="K127" s="13" t="str">
        <f aca="false">IF(N(J127)=0,"",(J127-I127)/J127)</f>
        <v/>
      </c>
    </row>
    <row r="128" customFormat="false" ht="15" hidden="false" customHeight="false" outlineLevel="0" collapsed="false">
      <c r="A128" s="2" t="s">
        <v>24</v>
      </c>
      <c r="B128" s="2" t="s">
        <v>40</v>
      </c>
      <c r="C128" s="2" t="s">
        <v>447</v>
      </c>
      <c r="D128" s="2" t="s">
        <v>451</v>
      </c>
      <c r="E128" s="7" t="n">
        <v>1</v>
      </c>
      <c r="F128" s="8" t="n">
        <v>33</v>
      </c>
      <c r="G128" s="2"/>
      <c r="H128" s="8" t="n">
        <v>33</v>
      </c>
      <c r="I128" s="9" t="n">
        <f aca="false">H128*(1-$N$2)</f>
        <v>30.36</v>
      </c>
      <c r="J128" s="12"/>
      <c r="K128" s="13" t="str">
        <f aca="false">IF(N(J128)=0,"",(J128-I128)/J128)</f>
        <v/>
      </c>
    </row>
    <row r="129" customFormat="false" ht="15" hidden="false" customHeight="false" outlineLevel="0" collapsed="false">
      <c r="A129" s="2" t="s">
        <v>24</v>
      </c>
      <c r="B129" s="2" t="s">
        <v>40</v>
      </c>
      <c r="C129" s="2" t="s">
        <v>447</v>
      </c>
      <c r="D129" s="2" t="s">
        <v>452</v>
      </c>
      <c r="E129" s="7" t="n">
        <v>1</v>
      </c>
      <c r="F129" s="8" t="n">
        <v>70</v>
      </c>
      <c r="G129" s="2"/>
      <c r="H129" s="8" t="n">
        <v>70</v>
      </c>
      <c r="I129" s="9" t="n">
        <f aca="false">H129*(1-$N$2)</f>
        <v>64.4</v>
      </c>
      <c r="J129" s="12"/>
      <c r="K129" s="13" t="str">
        <f aca="false">IF(N(J129)=0,"",(J129-I129)/J129)</f>
        <v/>
      </c>
    </row>
    <row r="130" customFormat="false" ht="15" hidden="false" customHeight="false" outlineLevel="0" collapsed="false">
      <c r="A130" s="2" t="s">
        <v>24</v>
      </c>
      <c r="B130" s="2" t="s">
        <v>40</v>
      </c>
      <c r="C130" s="2" t="s">
        <v>447</v>
      </c>
      <c r="D130" s="2" t="s">
        <v>453</v>
      </c>
      <c r="E130" s="7" t="n">
        <v>1</v>
      </c>
      <c r="F130" s="8" t="n">
        <v>75</v>
      </c>
      <c r="G130" s="2"/>
      <c r="H130" s="8" t="n">
        <v>75</v>
      </c>
      <c r="I130" s="9" t="n">
        <f aca="false">H130*(1-$N$2)</f>
        <v>69</v>
      </c>
      <c r="J130" s="12"/>
      <c r="K130" s="13" t="str">
        <f aca="false">IF(N(J130)=0,"",(J130-I130)/J130)</f>
        <v/>
      </c>
    </row>
    <row r="131" customFormat="false" ht="15" hidden="false" customHeight="false" outlineLevel="0" collapsed="false">
      <c r="A131" s="2" t="s">
        <v>24</v>
      </c>
      <c r="B131" s="2" t="s">
        <v>40</v>
      </c>
      <c r="C131" s="2" t="s">
        <v>447</v>
      </c>
      <c r="D131" s="2" t="s">
        <v>454</v>
      </c>
      <c r="E131" s="7" t="n">
        <v>1</v>
      </c>
      <c r="F131" s="8" t="n">
        <v>100</v>
      </c>
      <c r="G131" s="2"/>
      <c r="H131" s="8" t="n">
        <v>100</v>
      </c>
      <c r="I131" s="9" t="n">
        <f aca="false">H131*(1-$N$2)</f>
        <v>92</v>
      </c>
      <c r="J131" s="12"/>
      <c r="K131" s="13" t="str">
        <f aca="false">IF(N(J131)=0,"",(J131-I131)/J131)</f>
        <v/>
      </c>
    </row>
    <row r="132" customFormat="false" ht="15" hidden="false" customHeight="false" outlineLevel="0" collapsed="false">
      <c r="A132" s="2" t="s">
        <v>24</v>
      </c>
      <c r="B132" s="2" t="s">
        <v>40</v>
      </c>
      <c r="C132" s="2" t="s">
        <v>447</v>
      </c>
      <c r="D132" s="2" t="s">
        <v>455</v>
      </c>
      <c r="E132" s="7" t="n">
        <v>1</v>
      </c>
      <c r="F132" s="8" t="n">
        <v>105</v>
      </c>
      <c r="G132" s="2"/>
      <c r="H132" s="8" t="n">
        <v>105</v>
      </c>
      <c r="I132" s="9" t="n">
        <f aca="false">H132*(1-$N$2)</f>
        <v>96.6</v>
      </c>
      <c r="J132" s="12"/>
      <c r="K132" s="13" t="str">
        <f aca="false">IF(N(J132)=0,"",(J132-I132)/J132)</f>
        <v/>
      </c>
    </row>
    <row r="133" customFormat="false" ht="15" hidden="false" customHeight="false" outlineLevel="0" collapsed="false">
      <c r="A133" s="2" t="s">
        <v>24</v>
      </c>
      <c r="B133" s="2" t="s">
        <v>40</v>
      </c>
      <c r="C133" s="2" t="s">
        <v>447</v>
      </c>
      <c r="D133" s="2" t="s">
        <v>456</v>
      </c>
      <c r="E133" s="7" t="n">
        <v>1</v>
      </c>
      <c r="F133" s="8" t="n">
        <v>120</v>
      </c>
      <c r="G133" s="2"/>
      <c r="H133" s="8" t="n">
        <v>120</v>
      </c>
      <c r="I133" s="9" t="n">
        <f aca="false">H133*(1-$N$2)</f>
        <v>110.4</v>
      </c>
      <c r="J133" s="12"/>
      <c r="K133" s="13" t="str">
        <f aca="false">IF(N(J133)=0,"",(J133-I133)/J133)</f>
        <v/>
      </c>
    </row>
    <row r="134" customFormat="false" ht="15" hidden="false" customHeight="false" outlineLevel="0" collapsed="false">
      <c r="A134" s="2" t="s">
        <v>24</v>
      </c>
      <c r="B134" s="2" t="s">
        <v>40</v>
      </c>
      <c r="C134" s="2" t="s">
        <v>447</v>
      </c>
      <c r="D134" s="2" t="s">
        <v>457</v>
      </c>
      <c r="E134" s="7" t="n">
        <v>1</v>
      </c>
      <c r="F134" s="8" t="n">
        <v>220</v>
      </c>
      <c r="G134" s="2"/>
      <c r="H134" s="8" t="n">
        <v>220</v>
      </c>
      <c r="I134" s="9" t="n">
        <f aca="false">H134*(1-$N$2)</f>
        <v>202.4</v>
      </c>
      <c r="J134" s="12"/>
      <c r="K134" s="13" t="str">
        <f aca="false">IF(N(J134)=0,"",(J134-I134)/J134)</f>
        <v/>
      </c>
    </row>
    <row r="135" customFormat="false" ht="15" hidden="false" customHeight="false" outlineLevel="0" collapsed="false">
      <c r="A135" s="2" t="s">
        <v>24</v>
      </c>
      <c r="B135" s="2" t="s">
        <v>40</v>
      </c>
      <c r="C135" s="2" t="s">
        <v>458</v>
      </c>
      <c r="D135" s="2" t="s">
        <v>459</v>
      </c>
      <c r="E135" s="7" t="n">
        <v>12</v>
      </c>
      <c r="F135" s="8" t="n">
        <v>108</v>
      </c>
      <c r="G135" s="2"/>
      <c r="H135" s="8" t="n">
        <v>9</v>
      </c>
      <c r="I135" s="9" t="n">
        <f aca="false">H135*(1-$N$2)</f>
        <v>8.28</v>
      </c>
      <c r="J135" s="12"/>
      <c r="K135" s="13" t="str">
        <f aca="false">IF(N(J135)=0,"",(J135-I135)/J135)</f>
        <v/>
      </c>
    </row>
    <row r="136" customFormat="false" ht="15" hidden="false" customHeight="false" outlineLevel="0" collapsed="false">
      <c r="A136" s="2" t="s">
        <v>24</v>
      </c>
      <c r="B136" s="2" t="s">
        <v>40</v>
      </c>
      <c r="C136" s="2" t="s">
        <v>458</v>
      </c>
      <c r="D136" s="2" t="s">
        <v>460</v>
      </c>
      <c r="E136" s="7" t="n">
        <v>12</v>
      </c>
      <c r="F136" s="8" t="n">
        <v>132</v>
      </c>
      <c r="G136" s="2"/>
      <c r="H136" s="8" t="n">
        <v>11</v>
      </c>
      <c r="I136" s="9" t="n">
        <f aca="false">H136*(1-$N$2)</f>
        <v>10.12</v>
      </c>
      <c r="J136" s="12"/>
      <c r="K136" s="13" t="str">
        <f aca="false">IF(N(J136)=0,"",(J136-I136)/J136)</f>
        <v/>
      </c>
    </row>
    <row r="137" customFormat="false" ht="15" hidden="false" customHeight="false" outlineLevel="0" collapsed="false">
      <c r="A137" s="2" t="s">
        <v>24</v>
      </c>
      <c r="B137" s="2" t="s">
        <v>40</v>
      </c>
      <c r="C137" s="2" t="s">
        <v>458</v>
      </c>
      <c r="D137" s="2" t="s">
        <v>461</v>
      </c>
      <c r="E137" s="7" t="n">
        <v>12</v>
      </c>
      <c r="F137" s="8" t="n">
        <v>240</v>
      </c>
      <c r="G137" s="2"/>
      <c r="H137" s="8" t="n">
        <v>20</v>
      </c>
      <c r="I137" s="9" t="n">
        <f aca="false">H137*(1-$N$2)</f>
        <v>18.4</v>
      </c>
      <c r="J137" s="12"/>
      <c r="K137" s="13" t="str">
        <f aca="false">IF(N(J137)=0,"",(J137-I137)/J137)</f>
        <v/>
      </c>
    </row>
    <row r="138" customFormat="false" ht="15" hidden="false" customHeight="false" outlineLevel="0" collapsed="false">
      <c r="A138" s="2" t="s">
        <v>24</v>
      </c>
      <c r="B138" s="2" t="s">
        <v>40</v>
      </c>
      <c r="C138" s="2" t="s">
        <v>462</v>
      </c>
      <c r="D138" s="2" t="s">
        <v>463</v>
      </c>
      <c r="E138" s="7" t="n">
        <v>1</v>
      </c>
      <c r="F138" s="8" t="n">
        <v>110</v>
      </c>
      <c r="G138" s="2"/>
      <c r="H138" s="8" t="n">
        <v>110</v>
      </c>
      <c r="I138" s="9" t="n">
        <f aca="false">H138*(1-$N$2)</f>
        <v>101.2</v>
      </c>
      <c r="J138" s="12"/>
      <c r="K138" s="13" t="str">
        <f aca="false">IF(N(J138)=0,"",(J138-I138)/J138)</f>
        <v/>
      </c>
    </row>
    <row r="139" customFormat="false" ht="15" hidden="false" customHeight="false" outlineLevel="0" collapsed="false">
      <c r="A139" s="2" t="s">
        <v>24</v>
      </c>
      <c r="B139" s="2" t="s">
        <v>40</v>
      </c>
      <c r="C139" s="2" t="s">
        <v>464</v>
      </c>
      <c r="D139" s="2" t="s">
        <v>465</v>
      </c>
      <c r="E139" s="7" t="n">
        <v>1</v>
      </c>
      <c r="F139" s="8" t="n">
        <v>100</v>
      </c>
      <c r="G139" s="2"/>
      <c r="H139" s="8" t="n">
        <v>100</v>
      </c>
      <c r="I139" s="9" t="n">
        <f aca="false">H139*(1-$N$2)</f>
        <v>92</v>
      </c>
      <c r="J139" s="12"/>
      <c r="K139" s="13" t="str">
        <f aca="false">IF(N(J139)=0,"",(J139-I139)/J139)</f>
        <v/>
      </c>
    </row>
    <row r="140" customFormat="false" ht="15" hidden="false" customHeight="false" outlineLevel="0" collapsed="false">
      <c r="A140" s="2" t="s">
        <v>24</v>
      </c>
      <c r="B140" s="2" t="s">
        <v>36</v>
      </c>
      <c r="C140" s="2" t="s">
        <v>36</v>
      </c>
      <c r="D140" s="2" t="s">
        <v>466</v>
      </c>
      <c r="E140" s="7" t="n">
        <v>12</v>
      </c>
      <c r="F140" s="8" t="n">
        <v>24</v>
      </c>
      <c r="G140" s="2"/>
      <c r="H140" s="8" t="n">
        <v>2</v>
      </c>
      <c r="I140" s="9" t="n">
        <f aca="false">H140*(1-$N$2)</f>
        <v>1.84</v>
      </c>
      <c r="J140" s="12"/>
      <c r="K140" s="13" t="str">
        <f aca="false">IF(N(J140)=0,"",(J140-I140)/J140)</f>
        <v/>
      </c>
    </row>
    <row r="141" customFormat="false" ht="15" hidden="false" customHeight="false" outlineLevel="0" collapsed="false">
      <c r="A141" s="2" t="s">
        <v>24</v>
      </c>
      <c r="B141" s="2" t="s">
        <v>36</v>
      </c>
      <c r="C141" s="2" t="s">
        <v>467</v>
      </c>
      <c r="D141" s="2" t="s">
        <v>468</v>
      </c>
      <c r="E141" s="7" t="n">
        <v>24</v>
      </c>
      <c r="F141" s="8" t="n">
        <v>48</v>
      </c>
      <c r="G141" s="2"/>
      <c r="H141" s="8" t="n">
        <v>2</v>
      </c>
      <c r="I141" s="9" t="n">
        <f aca="false">H141*(1-$N$2)</f>
        <v>1.84</v>
      </c>
      <c r="J141" s="12"/>
      <c r="K141" s="13" t="str">
        <f aca="false">IF(N(J141)=0,"",(J141-I141)/J141)</f>
        <v/>
      </c>
    </row>
    <row r="142" customFormat="false" ht="15" hidden="false" customHeight="false" outlineLevel="0" collapsed="false">
      <c r="A142" s="2" t="s">
        <v>24</v>
      </c>
      <c r="B142" s="2" t="s">
        <v>36</v>
      </c>
      <c r="C142" s="2" t="s">
        <v>36</v>
      </c>
      <c r="D142" s="2" t="s">
        <v>469</v>
      </c>
      <c r="E142" s="7" t="n">
        <v>12</v>
      </c>
      <c r="F142" s="8" t="n">
        <v>26</v>
      </c>
      <c r="G142" s="2"/>
      <c r="H142" s="8" t="n">
        <v>2.16</v>
      </c>
      <c r="I142" s="9" t="n">
        <f aca="false">H142*(1-$N$2)</f>
        <v>1.9872</v>
      </c>
      <c r="J142" s="12"/>
      <c r="K142" s="13" t="str">
        <f aca="false">IF(N(J142)=0,"",(J142-I142)/J142)</f>
        <v/>
      </c>
    </row>
    <row r="143" customFormat="false" ht="15" hidden="false" customHeight="false" outlineLevel="0" collapsed="false">
      <c r="A143" s="2" t="s">
        <v>24</v>
      </c>
      <c r="B143" s="2" t="s">
        <v>36</v>
      </c>
      <c r="C143" s="2" t="s">
        <v>36</v>
      </c>
      <c r="D143" s="2" t="s">
        <v>470</v>
      </c>
      <c r="E143" s="7" t="n">
        <v>12</v>
      </c>
      <c r="F143" s="8" t="n">
        <v>28</v>
      </c>
      <c r="G143" s="2"/>
      <c r="H143" s="8" t="n">
        <v>2.33</v>
      </c>
      <c r="I143" s="9" t="n">
        <f aca="false">H143*(1-$N$2)</f>
        <v>2.1436</v>
      </c>
      <c r="J143" s="12"/>
      <c r="K143" s="13" t="str">
        <f aca="false">IF(N(J143)=0,"",(J143-I143)/J143)</f>
        <v/>
      </c>
    </row>
    <row r="144" customFormat="false" ht="15" hidden="false" customHeight="false" outlineLevel="0" collapsed="false">
      <c r="A144" s="2" t="s">
        <v>24</v>
      </c>
      <c r="B144" s="2" t="s">
        <v>36</v>
      </c>
      <c r="C144" s="2" t="s">
        <v>36</v>
      </c>
      <c r="D144" s="2" t="s">
        <v>471</v>
      </c>
      <c r="E144" s="7" t="n">
        <v>12</v>
      </c>
      <c r="F144" s="8" t="n">
        <v>30</v>
      </c>
      <c r="G144" s="2"/>
      <c r="H144" s="8" t="n">
        <v>2.5</v>
      </c>
      <c r="I144" s="9" t="n">
        <f aca="false">H144*(1-$N$2)</f>
        <v>2.3</v>
      </c>
      <c r="J144" s="12"/>
      <c r="K144" s="13" t="str">
        <f aca="false">IF(N(J144)=0,"",(J144-I144)/J144)</f>
        <v/>
      </c>
    </row>
    <row r="145" customFormat="false" ht="15" hidden="false" customHeight="false" outlineLevel="0" collapsed="false">
      <c r="A145" s="2" t="s">
        <v>24</v>
      </c>
      <c r="B145" s="2" t="s">
        <v>36</v>
      </c>
      <c r="C145" s="2" t="s">
        <v>36</v>
      </c>
      <c r="D145" s="2" t="s">
        <v>472</v>
      </c>
      <c r="E145" s="7" t="n">
        <v>12</v>
      </c>
      <c r="F145" s="8" t="n">
        <v>33</v>
      </c>
      <c r="G145" s="2"/>
      <c r="H145" s="8" t="n">
        <v>2.75</v>
      </c>
      <c r="I145" s="9" t="n">
        <f aca="false">H145*(1-$N$2)</f>
        <v>2.53</v>
      </c>
      <c r="J145" s="12"/>
      <c r="K145" s="13" t="str">
        <f aca="false">IF(N(J145)=0,"",(J145-I145)/J145)</f>
        <v/>
      </c>
    </row>
    <row r="146" customFormat="false" ht="15" hidden="false" customHeight="false" outlineLevel="0" collapsed="false">
      <c r="A146" s="2" t="s">
        <v>24</v>
      </c>
      <c r="B146" s="2" t="s">
        <v>36</v>
      </c>
      <c r="C146" s="2" t="s">
        <v>36</v>
      </c>
      <c r="D146" s="2" t="s">
        <v>473</v>
      </c>
      <c r="E146" s="7" t="n">
        <v>12</v>
      </c>
      <c r="F146" s="8" t="n">
        <v>36</v>
      </c>
      <c r="G146" s="2"/>
      <c r="H146" s="8" t="n">
        <v>3</v>
      </c>
      <c r="I146" s="9" t="n">
        <f aca="false">H146*(1-$N$2)</f>
        <v>2.76</v>
      </c>
      <c r="J146" s="12"/>
      <c r="K146" s="13" t="str">
        <f aca="false">IF(N(J146)=0,"",(J146-I146)/J146)</f>
        <v/>
      </c>
    </row>
    <row r="147" customFormat="false" ht="15" hidden="false" customHeight="false" outlineLevel="0" collapsed="false">
      <c r="A147" s="2" t="s">
        <v>24</v>
      </c>
      <c r="B147" s="2" t="s">
        <v>36</v>
      </c>
      <c r="C147" s="2" t="s">
        <v>36</v>
      </c>
      <c r="D147" s="2" t="s">
        <v>474</v>
      </c>
      <c r="E147" s="7" t="n">
        <v>12</v>
      </c>
      <c r="F147" s="8" t="n">
        <v>40</v>
      </c>
      <c r="G147" s="2"/>
      <c r="H147" s="8" t="n">
        <v>3.33</v>
      </c>
      <c r="I147" s="9" t="n">
        <f aca="false">H147*(1-$N$2)</f>
        <v>3.0636</v>
      </c>
      <c r="J147" s="12"/>
      <c r="K147" s="13" t="str">
        <f aca="false">IF(N(J147)=0,"",(J147-I147)/J147)</f>
        <v/>
      </c>
    </row>
    <row r="148" customFormat="false" ht="15" hidden="false" customHeight="false" outlineLevel="0" collapsed="false">
      <c r="A148" s="2" t="s">
        <v>24</v>
      </c>
      <c r="B148" s="2" t="s">
        <v>36</v>
      </c>
      <c r="C148" s="2" t="s">
        <v>36</v>
      </c>
      <c r="D148" s="2" t="s">
        <v>475</v>
      </c>
      <c r="E148" s="7" t="n">
        <v>12</v>
      </c>
      <c r="F148" s="8" t="n">
        <v>42</v>
      </c>
      <c r="G148" s="2"/>
      <c r="H148" s="8" t="n">
        <v>3.5</v>
      </c>
      <c r="I148" s="9" t="n">
        <f aca="false">H148*(1-$N$2)</f>
        <v>3.22</v>
      </c>
      <c r="J148" s="12"/>
      <c r="K148" s="13" t="str">
        <f aca="false">IF(N(J148)=0,"",(J148-I148)/J148)</f>
        <v/>
      </c>
    </row>
    <row r="149" customFormat="false" ht="15" hidden="false" customHeight="false" outlineLevel="0" collapsed="false">
      <c r="A149" s="2" t="s">
        <v>24</v>
      </c>
      <c r="B149" s="2" t="s">
        <v>36</v>
      </c>
      <c r="C149" s="2" t="s">
        <v>36</v>
      </c>
      <c r="D149" s="2" t="s">
        <v>476</v>
      </c>
      <c r="E149" s="7" t="n">
        <v>12</v>
      </c>
      <c r="F149" s="8" t="n">
        <v>45</v>
      </c>
      <c r="G149" s="2"/>
      <c r="H149" s="8" t="n">
        <v>3.75</v>
      </c>
      <c r="I149" s="9" t="n">
        <f aca="false">H149*(1-$N$2)</f>
        <v>3.45</v>
      </c>
      <c r="J149" s="12"/>
      <c r="K149" s="13" t="str">
        <f aca="false">IF(N(J149)=0,"",(J149-I149)/J149)</f>
        <v/>
      </c>
    </row>
    <row r="150" customFormat="false" ht="15" hidden="false" customHeight="false" outlineLevel="0" collapsed="false">
      <c r="A150" s="2" t="s">
        <v>24</v>
      </c>
      <c r="B150" s="2" t="s">
        <v>36</v>
      </c>
      <c r="C150" s="2" t="s">
        <v>36</v>
      </c>
      <c r="D150" s="2" t="s">
        <v>477</v>
      </c>
      <c r="E150" s="7" t="n">
        <v>12</v>
      </c>
      <c r="F150" s="8" t="n">
        <v>48</v>
      </c>
      <c r="G150" s="2"/>
      <c r="H150" s="8" t="n">
        <v>4</v>
      </c>
      <c r="I150" s="9" t="n">
        <f aca="false">H150*(1-$N$2)</f>
        <v>3.68</v>
      </c>
      <c r="J150" s="12"/>
      <c r="K150" s="13" t="str">
        <f aca="false">IF(N(J150)=0,"",(J150-I150)/J150)</f>
        <v/>
      </c>
    </row>
    <row r="151" customFormat="false" ht="15" hidden="false" customHeight="false" outlineLevel="0" collapsed="false">
      <c r="A151" s="2" t="s">
        <v>24</v>
      </c>
      <c r="B151" s="2" t="s">
        <v>36</v>
      </c>
      <c r="C151" s="2" t="s">
        <v>36</v>
      </c>
      <c r="D151" s="2" t="s">
        <v>478</v>
      </c>
      <c r="E151" s="7" t="n">
        <v>12</v>
      </c>
      <c r="F151" s="8" t="n">
        <v>50</v>
      </c>
      <c r="G151" s="2"/>
      <c r="H151" s="8" t="n">
        <v>4.18</v>
      </c>
      <c r="I151" s="9" t="n">
        <f aca="false">H151*(1-$N$2)</f>
        <v>3.8456</v>
      </c>
      <c r="J151" s="12"/>
      <c r="K151" s="13" t="str">
        <f aca="false">IF(N(J151)=0,"",(J151-I151)/J151)</f>
        <v/>
      </c>
    </row>
    <row r="152" customFormat="false" ht="15" hidden="false" customHeight="false" outlineLevel="0" collapsed="false">
      <c r="A152" s="2" t="s">
        <v>24</v>
      </c>
      <c r="B152" s="2" t="s">
        <v>36</v>
      </c>
      <c r="C152" s="2" t="s">
        <v>36</v>
      </c>
      <c r="D152" s="2" t="s">
        <v>479</v>
      </c>
      <c r="E152" s="7" t="n">
        <v>12</v>
      </c>
      <c r="F152" s="8" t="n">
        <v>54</v>
      </c>
      <c r="G152" s="2"/>
      <c r="H152" s="8" t="n">
        <v>4.5</v>
      </c>
      <c r="I152" s="9" t="n">
        <f aca="false">H152*(1-$N$2)</f>
        <v>4.14</v>
      </c>
      <c r="J152" s="12"/>
      <c r="K152" s="13" t="str">
        <f aca="false">IF(N(J152)=0,"",(J152-I152)/J152)</f>
        <v/>
      </c>
    </row>
    <row r="153" customFormat="false" ht="15" hidden="false" customHeight="false" outlineLevel="0" collapsed="false">
      <c r="A153" s="2" t="s">
        <v>24</v>
      </c>
      <c r="B153" s="2" t="s">
        <v>36</v>
      </c>
      <c r="C153" s="2" t="s">
        <v>36</v>
      </c>
      <c r="D153" s="2" t="s">
        <v>480</v>
      </c>
      <c r="E153" s="7" t="n">
        <v>12</v>
      </c>
      <c r="F153" s="8" t="n">
        <v>60</v>
      </c>
      <c r="G153" s="2"/>
      <c r="H153" s="8" t="n">
        <v>5</v>
      </c>
      <c r="I153" s="9" t="n">
        <f aca="false">H153*(1-$N$2)</f>
        <v>4.6</v>
      </c>
      <c r="J153" s="12"/>
      <c r="K153" s="13" t="str">
        <f aca="false">IF(N(J153)=0,"",(J153-I153)/J153)</f>
        <v/>
      </c>
    </row>
    <row r="154" customFormat="false" ht="15" hidden="false" customHeight="false" outlineLevel="0" collapsed="false">
      <c r="A154" s="2" t="s">
        <v>24</v>
      </c>
      <c r="B154" s="2" t="s">
        <v>36</v>
      </c>
      <c r="C154" s="2" t="s">
        <v>481</v>
      </c>
      <c r="D154" s="2" t="s">
        <v>482</v>
      </c>
      <c r="E154" s="7" t="n">
        <v>12</v>
      </c>
      <c r="F154" s="8" t="n">
        <v>66</v>
      </c>
      <c r="G154" s="2"/>
      <c r="H154" s="8" t="n">
        <v>5.5</v>
      </c>
      <c r="I154" s="9" t="n">
        <f aca="false">H154*(1-$N$2)</f>
        <v>5.06</v>
      </c>
      <c r="J154" s="12"/>
      <c r="K154" s="13" t="str">
        <f aca="false">IF(N(J154)=0,"",(J154-I154)/J154)</f>
        <v/>
      </c>
    </row>
    <row r="155" customFormat="false" ht="15" hidden="false" customHeight="false" outlineLevel="0" collapsed="false">
      <c r="A155" s="2" t="s">
        <v>24</v>
      </c>
      <c r="B155" s="2" t="s">
        <v>36</v>
      </c>
      <c r="C155" s="2" t="s">
        <v>36</v>
      </c>
      <c r="D155" s="2" t="s">
        <v>483</v>
      </c>
      <c r="E155" s="7" t="n">
        <v>12</v>
      </c>
      <c r="F155" s="8" t="n">
        <v>72</v>
      </c>
      <c r="G155" s="2"/>
      <c r="H155" s="8" t="n">
        <v>6</v>
      </c>
      <c r="I155" s="9" t="n">
        <f aca="false">H155*(1-$N$2)</f>
        <v>5.52</v>
      </c>
      <c r="J155" s="12"/>
      <c r="K155" s="13" t="str">
        <f aca="false">IF(N(J155)=0,"",(J155-I155)/J155)</f>
        <v/>
      </c>
    </row>
    <row r="156" customFormat="false" ht="15" hidden="false" customHeight="false" outlineLevel="0" collapsed="false">
      <c r="A156" s="2" t="s">
        <v>24</v>
      </c>
      <c r="B156" s="2" t="s">
        <v>36</v>
      </c>
      <c r="C156" s="2" t="s">
        <v>36</v>
      </c>
      <c r="D156" s="2" t="s">
        <v>484</v>
      </c>
      <c r="E156" s="7" t="n">
        <v>12</v>
      </c>
      <c r="F156" s="8" t="n">
        <v>78</v>
      </c>
      <c r="G156" s="2"/>
      <c r="H156" s="8" t="n">
        <v>6.5</v>
      </c>
      <c r="I156" s="9" t="n">
        <f aca="false">H156*(1-$N$2)</f>
        <v>5.98</v>
      </c>
      <c r="J156" s="12"/>
      <c r="K156" s="13" t="str">
        <f aca="false">IF(N(J156)=0,"",(J156-I156)/J156)</f>
        <v/>
      </c>
    </row>
    <row r="157" customFormat="false" ht="15" hidden="false" customHeight="false" outlineLevel="0" collapsed="false">
      <c r="A157" s="2" t="s">
        <v>24</v>
      </c>
      <c r="B157" s="2" t="s">
        <v>36</v>
      </c>
      <c r="C157" s="2" t="s">
        <v>485</v>
      </c>
      <c r="D157" s="2" t="s">
        <v>486</v>
      </c>
      <c r="E157" s="7" t="n">
        <v>6</v>
      </c>
      <c r="F157" s="8" t="n">
        <v>84</v>
      </c>
      <c r="G157" s="2"/>
      <c r="H157" s="8" t="n">
        <v>14</v>
      </c>
      <c r="I157" s="9" t="n">
        <f aca="false">H157*(1-$N$2)</f>
        <v>12.88</v>
      </c>
      <c r="J157" s="12"/>
      <c r="K157" s="13" t="str">
        <f aca="false">IF(N(J157)=0,"",(J157-I157)/J157)</f>
        <v/>
      </c>
    </row>
  </sheetData>
  <autoFilter ref="A1:K1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487</v>
      </c>
      <c r="D1" s="1" t="s">
        <v>488</v>
      </c>
      <c r="E1" s="1" t="s">
        <v>50</v>
      </c>
      <c r="F1" s="1" t="s">
        <v>224</v>
      </c>
      <c r="G1" s="1" t="s">
        <v>225</v>
      </c>
      <c r="I1" s="5" t="s">
        <v>489</v>
      </c>
    </row>
    <row r="2" customFormat="false" ht="15" hidden="false" customHeight="false" outlineLevel="0" collapsed="false">
      <c r="A2" s="2" t="s">
        <v>11</v>
      </c>
      <c r="B2" s="2" t="s">
        <v>20</v>
      </c>
      <c r="C2" s="2" t="s">
        <v>490</v>
      </c>
      <c r="D2" s="2" t="s">
        <v>491</v>
      </c>
      <c r="E2" s="8" t="n">
        <v>3.5</v>
      </c>
      <c r="F2" s="12"/>
      <c r="G2" s="13" t="str">
        <f aca="false">IF(N(F2)=0,"",(F2-E2)/F2)</f>
        <v/>
      </c>
    </row>
    <row r="3" customFormat="false" ht="15" hidden="false" customHeight="false" outlineLevel="0" collapsed="false">
      <c r="A3" s="2" t="s">
        <v>11</v>
      </c>
      <c r="B3" s="2" t="s">
        <v>20</v>
      </c>
      <c r="C3" s="2" t="s">
        <v>492</v>
      </c>
      <c r="D3" s="2" t="s">
        <v>493</v>
      </c>
      <c r="E3" s="8" t="n">
        <v>3.5</v>
      </c>
      <c r="F3" s="12"/>
      <c r="G3" s="13" t="str">
        <f aca="false">IF(N(F3)=0,"",(F3-E3)/F3)</f>
        <v/>
      </c>
    </row>
    <row r="4" customFormat="false" ht="15" hidden="false" customHeight="false" outlineLevel="0" collapsed="false">
      <c r="A4" s="2" t="s">
        <v>11</v>
      </c>
      <c r="B4" s="2" t="s">
        <v>20</v>
      </c>
      <c r="C4" s="2" t="s">
        <v>494</v>
      </c>
      <c r="D4" s="2" t="s">
        <v>495</v>
      </c>
      <c r="E4" s="8" t="n">
        <v>7.25</v>
      </c>
      <c r="F4" s="12"/>
      <c r="G4" s="13" t="str">
        <f aca="false">IF(N(F4)=0,"",(F4-E4)/F4)</f>
        <v/>
      </c>
    </row>
    <row r="5" customFormat="false" ht="15" hidden="false" customHeight="false" outlineLevel="0" collapsed="false">
      <c r="A5" s="2" t="s">
        <v>11</v>
      </c>
      <c r="B5" s="2" t="s">
        <v>20</v>
      </c>
      <c r="C5" s="2" t="s">
        <v>494</v>
      </c>
      <c r="D5" s="2" t="s">
        <v>496</v>
      </c>
      <c r="E5" s="8" t="n">
        <v>7.25</v>
      </c>
      <c r="F5" s="12"/>
      <c r="G5" s="13" t="str">
        <f aca="false">IF(N(F5)=0,"",(F5-E5)/F5)</f>
        <v/>
      </c>
    </row>
    <row r="6" customFormat="false" ht="15" hidden="false" customHeight="false" outlineLevel="0" collapsed="false">
      <c r="A6" s="2" t="s">
        <v>11</v>
      </c>
      <c r="B6" s="2" t="s">
        <v>20</v>
      </c>
      <c r="C6" s="2" t="s">
        <v>497</v>
      </c>
      <c r="D6" s="2" t="s">
        <v>498</v>
      </c>
      <c r="E6" s="8" t="n">
        <v>3.5</v>
      </c>
      <c r="F6" s="12"/>
      <c r="G6" s="13" t="str">
        <f aca="false">IF(N(F6)=0,"",(F6-E6)/F6)</f>
        <v/>
      </c>
    </row>
    <row r="7" customFormat="false" ht="15" hidden="false" customHeight="false" outlineLevel="0" collapsed="false">
      <c r="A7" s="2" t="s">
        <v>11</v>
      </c>
      <c r="B7" s="2" t="s">
        <v>20</v>
      </c>
      <c r="C7" s="2" t="s">
        <v>499</v>
      </c>
      <c r="D7" s="2" t="s">
        <v>500</v>
      </c>
      <c r="E7" s="8" t="n">
        <v>9</v>
      </c>
      <c r="F7" s="12"/>
      <c r="G7" s="13" t="str">
        <f aca="false">IF(N(F7)=0,"",(F7-E7)/F7)</f>
        <v/>
      </c>
    </row>
    <row r="8" customFormat="false" ht="15" hidden="false" customHeight="false" outlineLevel="0" collapsed="false">
      <c r="A8" s="2" t="s">
        <v>11</v>
      </c>
      <c r="B8" s="2" t="s">
        <v>20</v>
      </c>
      <c r="C8" s="2" t="s">
        <v>499</v>
      </c>
      <c r="D8" s="2" t="s">
        <v>501</v>
      </c>
      <c r="E8" s="8" t="n">
        <v>9</v>
      </c>
      <c r="F8" s="12"/>
      <c r="G8" s="13" t="str">
        <f aca="false">IF(N(F8)=0,"",(F8-E8)/F8)</f>
        <v/>
      </c>
    </row>
    <row r="9" customFormat="false" ht="15" hidden="false" customHeight="false" outlineLevel="0" collapsed="false">
      <c r="A9" s="2" t="s">
        <v>11</v>
      </c>
      <c r="B9" s="2" t="s">
        <v>20</v>
      </c>
      <c r="C9" s="2" t="s">
        <v>502</v>
      </c>
      <c r="D9" s="2" t="s">
        <v>503</v>
      </c>
      <c r="E9" s="8" t="n">
        <v>9</v>
      </c>
      <c r="F9" s="12"/>
      <c r="G9" s="13" t="str">
        <f aca="false">IF(N(F9)=0,"",(F9-E9)/F9)</f>
        <v/>
      </c>
    </row>
    <row r="10" customFormat="false" ht="15" hidden="false" customHeight="false" outlineLevel="0" collapsed="false">
      <c r="A10" s="2" t="s">
        <v>11</v>
      </c>
      <c r="B10" s="2" t="s">
        <v>20</v>
      </c>
      <c r="C10" s="2" t="s">
        <v>502</v>
      </c>
      <c r="D10" s="2" t="s">
        <v>504</v>
      </c>
      <c r="E10" s="8" t="n">
        <v>9</v>
      </c>
      <c r="F10" s="12"/>
      <c r="G10" s="13" t="str">
        <f aca="false">IF(N(F10)=0,"",(F10-E10)/F10)</f>
        <v/>
      </c>
    </row>
    <row r="11" customFormat="false" ht="15" hidden="false" customHeight="false" outlineLevel="0" collapsed="false">
      <c r="A11" s="2" t="s">
        <v>11</v>
      </c>
      <c r="B11" s="2" t="s">
        <v>20</v>
      </c>
      <c r="C11" s="2" t="s">
        <v>502</v>
      </c>
      <c r="D11" s="2" t="s">
        <v>505</v>
      </c>
      <c r="E11" s="8" t="n">
        <v>9</v>
      </c>
      <c r="F11" s="12"/>
      <c r="G11" s="13" t="str">
        <f aca="false">IF(N(F11)=0,"",(F11-E11)/F11)</f>
        <v/>
      </c>
    </row>
    <row r="12" customFormat="false" ht="15" hidden="false" customHeight="false" outlineLevel="0" collapsed="false">
      <c r="A12" s="2" t="s">
        <v>11</v>
      </c>
      <c r="B12" s="2" t="s">
        <v>20</v>
      </c>
      <c r="C12" s="2" t="s">
        <v>502</v>
      </c>
      <c r="D12" s="2" t="s">
        <v>506</v>
      </c>
      <c r="E12" s="8" t="n">
        <v>9</v>
      </c>
      <c r="F12" s="12"/>
      <c r="G12" s="13" t="str">
        <f aca="false">IF(N(F12)=0,"",(F12-E12)/F12)</f>
        <v/>
      </c>
    </row>
    <row r="13" customFormat="false" ht="15" hidden="false" customHeight="false" outlineLevel="0" collapsed="false">
      <c r="A13" s="2" t="s">
        <v>11</v>
      </c>
      <c r="B13" s="2" t="s">
        <v>20</v>
      </c>
      <c r="C13" s="2" t="s">
        <v>502</v>
      </c>
      <c r="D13" s="2" t="s">
        <v>507</v>
      </c>
      <c r="E13" s="8" t="n">
        <v>9</v>
      </c>
      <c r="F13" s="12"/>
      <c r="G13" s="13" t="str">
        <f aca="false">IF(N(F13)=0,"",(F13-E13)/F13)</f>
        <v/>
      </c>
    </row>
    <row r="14" customFormat="false" ht="15" hidden="false" customHeight="false" outlineLevel="0" collapsed="false">
      <c r="A14" s="2" t="s">
        <v>11</v>
      </c>
      <c r="B14" s="2" t="s">
        <v>20</v>
      </c>
      <c r="C14" s="2" t="s">
        <v>502</v>
      </c>
      <c r="D14" s="2" t="s">
        <v>508</v>
      </c>
      <c r="E14" s="8" t="n">
        <v>9</v>
      </c>
      <c r="F14" s="12"/>
      <c r="G14" s="13" t="str">
        <f aca="false">IF(N(F14)=0,"",(F14-E14)/F14)</f>
        <v/>
      </c>
    </row>
    <row r="15" customFormat="false" ht="15" hidden="false" customHeight="false" outlineLevel="0" collapsed="false">
      <c r="A15" s="2" t="s">
        <v>11</v>
      </c>
      <c r="B15" s="2" t="s">
        <v>20</v>
      </c>
      <c r="C15" s="2" t="s">
        <v>509</v>
      </c>
      <c r="D15" s="2" t="s">
        <v>510</v>
      </c>
      <c r="E15" s="8" t="n">
        <v>9</v>
      </c>
      <c r="F15" s="12"/>
      <c r="G15" s="13" t="str">
        <f aca="false">IF(N(F15)=0,"",(F15-E15)/F15)</f>
        <v/>
      </c>
    </row>
    <row r="16" customFormat="false" ht="15" hidden="false" customHeight="false" outlineLevel="0" collapsed="false">
      <c r="A16" s="2" t="s">
        <v>11</v>
      </c>
      <c r="B16" s="2" t="s">
        <v>20</v>
      </c>
      <c r="C16" s="2" t="s">
        <v>509</v>
      </c>
      <c r="D16" s="2" t="s">
        <v>511</v>
      </c>
      <c r="E16" s="8" t="n">
        <v>9</v>
      </c>
      <c r="F16" s="12"/>
      <c r="G16" s="13" t="str">
        <f aca="false">IF(N(F16)=0,"",(F16-E16)/F16)</f>
        <v/>
      </c>
    </row>
    <row r="17" customFormat="false" ht="15" hidden="false" customHeight="false" outlineLevel="0" collapsed="false">
      <c r="A17" s="2" t="s">
        <v>11</v>
      </c>
      <c r="B17" s="2" t="s">
        <v>20</v>
      </c>
      <c r="C17" s="2" t="s">
        <v>509</v>
      </c>
      <c r="D17" s="2" t="s">
        <v>512</v>
      </c>
      <c r="E17" s="8" t="n">
        <v>9</v>
      </c>
      <c r="F17" s="12"/>
      <c r="G17" s="13" t="str">
        <f aca="false">IF(N(F17)=0,"",(F17-E17)/F17)</f>
        <v/>
      </c>
    </row>
    <row r="18" customFormat="false" ht="15" hidden="false" customHeight="false" outlineLevel="0" collapsed="false">
      <c r="A18" s="2" t="s">
        <v>11</v>
      </c>
      <c r="B18" s="2" t="s">
        <v>20</v>
      </c>
      <c r="C18" s="2" t="s">
        <v>509</v>
      </c>
      <c r="D18" s="2" t="s">
        <v>513</v>
      </c>
      <c r="E18" s="8" t="n">
        <v>9</v>
      </c>
      <c r="F18" s="12"/>
      <c r="G18" s="13" t="str">
        <f aca="false">IF(N(F18)=0,"",(F18-E18)/F18)</f>
        <v/>
      </c>
    </row>
    <row r="19" customFormat="false" ht="15" hidden="false" customHeight="false" outlineLevel="0" collapsed="false">
      <c r="A19" s="2" t="s">
        <v>11</v>
      </c>
      <c r="B19" s="2" t="s">
        <v>20</v>
      </c>
      <c r="C19" s="2" t="s">
        <v>509</v>
      </c>
      <c r="D19" s="2" t="s">
        <v>514</v>
      </c>
      <c r="E19" s="8" t="n">
        <v>9</v>
      </c>
      <c r="F19" s="12"/>
      <c r="G19" s="13" t="str">
        <f aca="false">IF(N(F19)=0,"",(F19-E19)/F19)</f>
        <v/>
      </c>
    </row>
    <row r="20" customFormat="false" ht="15" hidden="false" customHeight="false" outlineLevel="0" collapsed="false">
      <c r="A20" s="2" t="s">
        <v>11</v>
      </c>
      <c r="B20" s="2" t="s">
        <v>20</v>
      </c>
      <c r="C20" s="2" t="s">
        <v>509</v>
      </c>
      <c r="D20" s="2" t="s">
        <v>515</v>
      </c>
      <c r="E20" s="8" t="n">
        <v>9</v>
      </c>
      <c r="F20" s="12"/>
      <c r="G20" s="13" t="str">
        <f aca="false">IF(N(F20)=0,"",(F20-E20)/F20)</f>
        <v/>
      </c>
    </row>
    <row r="21" customFormat="false" ht="15" hidden="false" customHeight="false" outlineLevel="0" collapsed="false">
      <c r="A21" s="2" t="s">
        <v>11</v>
      </c>
      <c r="B21" s="2" t="s">
        <v>20</v>
      </c>
      <c r="C21" s="2" t="s">
        <v>516</v>
      </c>
      <c r="D21" s="2" t="s">
        <v>517</v>
      </c>
      <c r="E21" s="8" t="n">
        <v>3.5</v>
      </c>
      <c r="F21" s="12"/>
      <c r="G21" s="13" t="str">
        <f aca="false">IF(N(F21)=0,"",(F21-E21)/F21)</f>
        <v/>
      </c>
    </row>
    <row r="22" customFormat="false" ht="15" hidden="false" customHeight="false" outlineLevel="0" collapsed="false">
      <c r="A22" s="2" t="s">
        <v>11</v>
      </c>
      <c r="B22" s="2" t="s">
        <v>20</v>
      </c>
      <c r="C22" s="2" t="s">
        <v>516</v>
      </c>
      <c r="D22" s="2" t="s">
        <v>518</v>
      </c>
      <c r="E22" s="8" t="n">
        <v>3.5</v>
      </c>
      <c r="F22" s="12"/>
      <c r="G22" s="13" t="str">
        <f aca="false">IF(N(F22)=0,"",(F22-E22)/F22)</f>
        <v/>
      </c>
    </row>
    <row r="23" customFormat="false" ht="15" hidden="false" customHeight="false" outlineLevel="0" collapsed="false">
      <c r="A23" s="2" t="s">
        <v>11</v>
      </c>
      <c r="B23" s="2" t="s">
        <v>20</v>
      </c>
      <c r="C23" s="2" t="s">
        <v>516</v>
      </c>
      <c r="D23" s="2" t="s">
        <v>519</v>
      </c>
      <c r="E23" s="8" t="n">
        <v>3.5</v>
      </c>
      <c r="F23" s="12"/>
      <c r="G23" s="13" t="str">
        <f aca="false">IF(N(F23)=0,"",(F23-E23)/F23)</f>
        <v/>
      </c>
    </row>
    <row r="24" customFormat="false" ht="15" hidden="false" customHeight="false" outlineLevel="0" collapsed="false">
      <c r="A24" s="2" t="s">
        <v>11</v>
      </c>
      <c r="B24" s="2" t="s">
        <v>20</v>
      </c>
      <c r="C24" s="2" t="s">
        <v>516</v>
      </c>
      <c r="D24" s="2" t="s">
        <v>520</v>
      </c>
      <c r="E24" s="8" t="n">
        <v>3.5</v>
      </c>
      <c r="F24" s="12"/>
      <c r="G24" s="13" t="str">
        <f aca="false">IF(N(F24)=0,"",(F24-E24)/F24)</f>
        <v/>
      </c>
    </row>
    <row r="25" customFormat="false" ht="15" hidden="false" customHeight="false" outlineLevel="0" collapsed="false">
      <c r="A25" s="2" t="s">
        <v>11</v>
      </c>
      <c r="B25" s="2" t="s">
        <v>20</v>
      </c>
      <c r="C25" s="2" t="s">
        <v>516</v>
      </c>
      <c r="D25" s="2" t="s">
        <v>521</v>
      </c>
      <c r="E25" s="8" t="n">
        <v>3.5</v>
      </c>
      <c r="F25" s="12"/>
      <c r="G25" s="13" t="str">
        <f aca="false">IF(N(F25)=0,"",(F25-E25)/F25)</f>
        <v/>
      </c>
    </row>
    <row r="26" customFormat="false" ht="15" hidden="false" customHeight="false" outlineLevel="0" collapsed="false">
      <c r="A26" s="2" t="s">
        <v>11</v>
      </c>
      <c r="B26" s="2" t="s">
        <v>20</v>
      </c>
      <c r="C26" s="2" t="s">
        <v>522</v>
      </c>
      <c r="D26" s="2" t="s">
        <v>523</v>
      </c>
      <c r="E26" s="8" t="n">
        <v>3.5</v>
      </c>
      <c r="F26" s="12"/>
      <c r="G26" s="13" t="str">
        <f aca="false">IF(N(F26)=0,"",(F26-E26)/F26)</f>
        <v/>
      </c>
    </row>
    <row r="27" customFormat="false" ht="15" hidden="false" customHeight="false" outlineLevel="0" collapsed="false">
      <c r="A27" s="2" t="s">
        <v>11</v>
      </c>
      <c r="B27" s="2" t="s">
        <v>20</v>
      </c>
      <c r="C27" s="2" t="s">
        <v>524</v>
      </c>
      <c r="D27" s="2" t="s">
        <v>525</v>
      </c>
      <c r="E27" s="8" t="n">
        <v>3.5</v>
      </c>
      <c r="F27" s="12"/>
      <c r="G27" s="13" t="str">
        <f aca="false">IF(N(F27)=0,"",(F27-E27)/F27)</f>
        <v/>
      </c>
    </row>
    <row r="28" customFormat="false" ht="15" hidden="false" customHeight="false" outlineLevel="0" collapsed="false">
      <c r="A28" s="2" t="s">
        <v>11</v>
      </c>
      <c r="B28" s="2" t="s">
        <v>20</v>
      </c>
      <c r="C28" s="2" t="s">
        <v>526</v>
      </c>
      <c r="D28" s="2" t="s">
        <v>527</v>
      </c>
      <c r="E28" s="8" t="n">
        <v>3.5</v>
      </c>
      <c r="F28" s="12"/>
      <c r="G28" s="13" t="str">
        <f aca="false">IF(N(F28)=0,"",(F28-E28)/F28)</f>
        <v/>
      </c>
    </row>
    <row r="29" customFormat="false" ht="15" hidden="false" customHeight="false" outlineLevel="0" collapsed="false">
      <c r="A29" s="2" t="s">
        <v>11</v>
      </c>
      <c r="B29" s="2" t="s">
        <v>20</v>
      </c>
      <c r="C29" s="2" t="s">
        <v>526</v>
      </c>
      <c r="D29" s="2" t="s">
        <v>528</v>
      </c>
      <c r="E29" s="8" t="n">
        <v>3.5</v>
      </c>
      <c r="F29" s="12"/>
      <c r="G29" s="13" t="str">
        <f aca="false">IF(N(F29)=0,"",(F29-E29)/F29)</f>
        <v/>
      </c>
    </row>
    <row r="30" customFormat="false" ht="15" hidden="false" customHeight="false" outlineLevel="0" collapsed="false">
      <c r="A30" s="2" t="s">
        <v>11</v>
      </c>
      <c r="B30" s="2" t="s">
        <v>20</v>
      </c>
      <c r="C30" s="2" t="s">
        <v>526</v>
      </c>
      <c r="D30" s="2" t="s">
        <v>529</v>
      </c>
      <c r="E30" s="8" t="n">
        <v>3.5</v>
      </c>
      <c r="F30" s="12"/>
      <c r="G30" s="13" t="str">
        <f aca="false">IF(N(F30)=0,"",(F30-E30)/F30)</f>
        <v/>
      </c>
    </row>
    <row r="31" customFormat="false" ht="15" hidden="false" customHeight="false" outlineLevel="0" collapsed="false">
      <c r="A31" s="2" t="s">
        <v>11</v>
      </c>
      <c r="B31" s="2" t="s">
        <v>20</v>
      </c>
      <c r="C31" s="2" t="s">
        <v>526</v>
      </c>
      <c r="D31" s="2" t="s">
        <v>530</v>
      </c>
      <c r="E31" s="8" t="n">
        <v>3.5</v>
      </c>
      <c r="F31" s="12"/>
      <c r="G31" s="13" t="str">
        <f aca="false">IF(N(F31)=0,"",(F31-E31)/F31)</f>
        <v/>
      </c>
    </row>
    <row r="32" customFormat="false" ht="15" hidden="false" customHeight="false" outlineLevel="0" collapsed="false">
      <c r="A32" s="2" t="s">
        <v>11</v>
      </c>
      <c r="B32" s="2" t="s">
        <v>20</v>
      </c>
      <c r="C32" s="2" t="s">
        <v>526</v>
      </c>
      <c r="D32" s="2" t="s">
        <v>531</v>
      </c>
      <c r="E32" s="8" t="n">
        <v>3.5</v>
      </c>
      <c r="F32" s="12"/>
      <c r="G32" s="13" t="str">
        <f aca="false">IF(N(F32)=0,"",(F32-E32)/F32)</f>
        <v/>
      </c>
    </row>
    <row r="33" customFormat="false" ht="15" hidden="false" customHeight="false" outlineLevel="0" collapsed="false">
      <c r="A33" s="2" t="s">
        <v>11</v>
      </c>
      <c r="B33" s="2" t="s">
        <v>20</v>
      </c>
      <c r="C33" s="2" t="s">
        <v>526</v>
      </c>
      <c r="D33" s="2" t="s">
        <v>532</v>
      </c>
      <c r="E33" s="8" t="n">
        <v>3.5</v>
      </c>
      <c r="F33" s="12"/>
      <c r="G33" s="13" t="str">
        <f aca="false">IF(N(F33)=0,"",(F33-E33)/F33)</f>
        <v/>
      </c>
    </row>
    <row r="34" customFormat="false" ht="15" hidden="false" customHeight="false" outlineLevel="0" collapsed="false">
      <c r="A34" s="2" t="s">
        <v>11</v>
      </c>
      <c r="B34" s="2" t="s">
        <v>20</v>
      </c>
      <c r="C34" s="2" t="s">
        <v>526</v>
      </c>
      <c r="D34" s="2" t="s">
        <v>533</v>
      </c>
      <c r="E34" s="8" t="n">
        <v>3.5</v>
      </c>
      <c r="F34" s="12"/>
      <c r="G34" s="13" t="str">
        <f aca="false">IF(N(F34)=0,"",(F34-E34)/F34)</f>
        <v/>
      </c>
    </row>
    <row r="35" customFormat="false" ht="15" hidden="false" customHeight="false" outlineLevel="0" collapsed="false">
      <c r="A35" s="2" t="s">
        <v>11</v>
      </c>
      <c r="B35" s="2" t="s">
        <v>20</v>
      </c>
      <c r="C35" s="2" t="s">
        <v>526</v>
      </c>
      <c r="D35" s="2" t="s">
        <v>534</v>
      </c>
      <c r="E35" s="8" t="n">
        <v>3.5</v>
      </c>
      <c r="F35" s="12"/>
      <c r="G35" s="13" t="str">
        <f aca="false">IF(N(F35)=0,"",(F35-E35)/F35)</f>
        <v/>
      </c>
    </row>
    <row r="36" customFormat="false" ht="15" hidden="false" customHeight="false" outlineLevel="0" collapsed="false">
      <c r="A36" s="2" t="s">
        <v>11</v>
      </c>
      <c r="B36" s="2" t="s">
        <v>20</v>
      </c>
      <c r="C36" s="2" t="s">
        <v>526</v>
      </c>
      <c r="D36" s="2" t="s">
        <v>535</v>
      </c>
      <c r="E36" s="8" t="n">
        <v>3.5</v>
      </c>
      <c r="F36" s="12"/>
      <c r="G36" s="13" t="str">
        <f aca="false">IF(N(F36)=0,"",(F36-E36)/F36)</f>
        <v/>
      </c>
    </row>
    <row r="37" customFormat="false" ht="15" hidden="false" customHeight="false" outlineLevel="0" collapsed="false">
      <c r="A37" s="2" t="s">
        <v>11</v>
      </c>
      <c r="B37" s="2" t="s">
        <v>20</v>
      </c>
      <c r="C37" s="2" t="s">
        <v>526</v>
      </c>
      <c r="D37" s="2" t="s">
        <v>536</v>
      </c>
      <c r="E37" s="8" t="n">
        <v>3.5</v>
      </c>
      <c r="F37" s="12"/>
      <c r="G37" s="13" t="str">
        <f aca="false">IF(N(F37)=0,"",(F37-E37)/F37)</f>
        <v/>
      </c>
    </row>
    <row r="38" customFormat="false" ht="15" hidden="false" customHeight="false" outlineLevel="0" collapsed="false">
      <c r="A38" s="2" t="s">
        <v>11</v>
      </c>
      <c r="B38" s="2" t="s">
        <v>20</v>
      </c>
      <c r="C38" s="2" t="s">
        <v>526</v>
      </c>
      <c r="D38" s="2" t="s">
        <v>537</v>
      </c>
      <c r="E38" s="8" t="n">
        <v>3.5</v>
      </c>
      <c r="F38" s="12"/>
      <c r="G38" s="13" t="str">
        <f aca="false">IF(N(F38)=0,"",(F38-E38)/F38)</f>
        <v/>
      </c>
    </row>
    <row r="39" customFormat="false" ht="15" hidden="false" customHeight="false" outlineLevel="0" collapsed="false">
      <c r="A39" s="2" t="s">
        <v>11</v>
      </c>
      <c r="B39" s="2" t="s">
        <v>20</v>
      </c>
      <c r="C39" s="2" t="s">
        <v>526</v>
      </c>
      <c r="D39" s="2" t="s">
        <v>538</v>
      </c>
      <c r="E39" s="8" t="n">
        <v>3.5</v>
      </c>
      <c r="F39" s="12"/>
      <c r="G39" s="13" t="str">
        <f aca="false">IF(N(F39)=0,"",(F39-E39)/F39)</f>
        <v/>
      </c>
    </row>
    <row r="40" customFormat="false" ht="15" hidden="false" customHeight="false" outlineLevel="0" collapsed="false">
      <c r="A40" s="2" t="s">
        <v>11</v>
      </c>
      <c r="B40" s="2" t="s">
        <v>20</v>
      </c>
      <c r="C40" s="2" t="s">
        <v>526</v>
      </c>
      <c r="D40" s="2" t="s">
        <v>539</v>
      </c>
      <c r="E40" s="8" t="n">
        <v>3.5</v>
      </c>
      <c r="F40" s="12"/>
      <c r="G40" s="13" t="str">
        <f aca="false">IF(N(F40)=0,"",(F40-E40)/F40)</f>
        <v/>
      </c>
    </row>
    <row r="41" customFormat="false" ht="15" hidden="false" customHeight="false" outlineLevel="0" collapsed="false">
      <c r="A41" s="2" t="s">
        <v>11</v>
      </c>
      <c r="B41" s="2" t="s">
        <v>20</v>
      </c>
      <c r="C41" s="2" t="s">
        <v>540</v>
      </c>
      <c r="D41" s="2" t="s">
        <v>541</v>
      </c>
      <c r="E41" s="8" t="n">
        <v>3</v>
      </c>
      <c r="F41" s="12"/>
      <c r="G41" s="13" t="str">
        <f aca="false">IF(N(F41)=0,"",(F41-E41)/F41)</f>
        <v/>
      </c>
    </row>
    <row r="42" customFormat="false" ht="15" hidden="false" customHeight="false" outlineLevel="0" collapsed="false">
      <c r="A42" s="2" t="s">
        <v>11</v>
      </c>
      <c r="B42" s="2" t="s">
        <v>20</v>
      </c>
      <c r="C42" s="2" t="s">
        <v>542</v>
      </c>
      <c r="D42" s="2" t="s">
        <v>543</v>
      </c>
      <c r="E42" s="8" t="n">
        <v>3</v>
      </c>
      <c r="F42" s="12"/>
      <c r="G42" s="13" t="str">
        <f aca="false">IF(N(F42)=0,"",(F42-E42)/F42)</f>
        <v/>
      </c>
    </row>
    <row r="43" customFormat="false" ht="15" hidden="false" customHeight="false" outlineLevel="0" collapsed="false">
      <c r="A43" s="2" t="s">
        <v>11</v>
      </c>
      <c r="B43" s="2" t="s">
        <v>14</v>
      </c>
      <c r="C43" s="2" t="s">
        <v>544</v>
      </c>
      <c r="D43" s="2" t="s">
        <v>545</v>
      </c>
      <c r="E43" s="8" t="n">
        <v>7</v>
      </c>
      <c r="F43" s="12"/>
      <c r="G43" s="13" t="str">
        <f aca="false">IF(N(F43)=0,"",(F43-E43)/F43)</f>
        <v/>
      </c>
    </row>
    <row r="44" customFormat="false" ht="15" hidden="false" customHeight="false" outlineLevel="0" collapsed="false">
      <c r="A44" s="2" t="s">
        <v>11</v>
      </c>
      <c r="B44" s="2" t="s">
        <v>14</v>
      </c>
      <c r="C44" s="2" t="s">
        <v>546</v>
      </c>
      <c r="D44" s="2" t="s">
        <v>547</v>
      </c>
      <c r="E44" s="8" t="n">
        <v>7</v>
      </c>
      <c r="F44" s="12"/>
      <c r="G44" s="13" t="str">
        <f aca="false">IF(N(F44)=0,"",(F44-E44)/F44)</f>
        <v/>
      </c>
    </row>
    <row r="45" customFormat="false" ht="15" hidden="false" customHeight="false" outlineLevel="0" collapsed="false">
      <c r="A45" s="2" t="s">
        <v>11</v>
      </c>
      <c r="B45" s="2" t="s">
        <v>14</v>
      </c>
      <c r="C45" s="2" t="s">
        <v>548</v>
      </c>
      <c r="D45" s="2" t="s">
        <v>549</v>
      </c>
      <c r="E45" s="8" t="n">
        <v>7</v>
      </c>
      <c r="F45" s="12"/>
      <c r="G45" s="13" t="str">
        <f aca="false">IF(N(F45)=0,"",(F45-E45)/F45)</f>
        <v/>
      </c>
    </row>
    <row r="46" customFormat="false" ht="15" hidden="false" customHeight="false" outlineLevel="0" collapsed="false">
      <c r="A46" s="2" t="s">
        <v>11</v>
      </c>
      <c r="B46" s="2" t="s">
        <v>14</v>
      </c>
      <c r="C46" s="2" t="s">
        <v>550</v>
      </c>
      <c r="D46" s="2" t="s">
        <v>551</v>
      </c>
      <c r="E46" s="8" t="n">
        <v>3.7</v>
      </c>
      <c r="F46" s="12"/>
      <c r="G46" s="13" t="str">
        <f aca="false">IF(N(F46)=0,"",(F46-E46)/F46)</f>
        <v/>
      </c>
    </row>
    <row r="47" customFormat="false" ht="15" hidden="false" customHeight="false" outlineLevel="0" collapsed="false">
      <c r="A47" s="2" t="s">
        <v>11</v>
      </c>
      <c r="B47" s="2" t="s">
        <v>14</v>
      </c>
      <c r="C47" s="2" t="s">
        <v>552</v>
      </c>
      <c r="D47" s="2" t="s">
        <v>553</v>
      </c>
      <c r="E47" s="8" t="n">
        <v>3.7</v>
      </c>
      <c r="F47" s="12"/>
      <c r="G47" s="13" t="str">
        <f aca="false">IF(N(F47)=0,"",(F47-E47)/F47)</f>
        <v/>
      </c>
    </row>
    <row r="48" customFormat="false" ht="15" hidden="false" customHeight="false" outlineLevel="0" collapsed="false">
      <c r="A48" s="2" t="s">
        <v>11</v>
      </c>
      <c r="B48" s="2" t="s">
        <v>14</v>
      </c>
      <c r="C48" s="2" t="s">
        <v>554</v>
      </c>
      <c r="D48" s="2" t="s">
        <v>555</v>
      </c>
      <c r="E48" s="8" t="n">
        <v>4</v>
      </c>
      <c r="F48" s="12"/>
      <c r="G48" s="13" t="str">
        <f aca="false">IF(N(F48)=0,"",(F48-E48)/F48)</f>
        <v/>
      </c>
    </row>
    <row r="49" customFormat="false" ht="15" hidden="false" customHeight="false" outlineLevel="0" collapsed="false">
      <c r="A49" s="2" t="s">
        <v>11</v>
      </c>
      <c r="B49" s="2" t="s">
        <v>14</v>
      </c>
      <c r="C49" s="2" t="s">
        <v>556</v>
      </c>
      <c r="D49" s="2" t="s">
        <v>557</v>
      </c>
      <c r="E49" s="8" t="n">
        <v>4</v>
      </c>
      <c r="F49" s="12"/>
      <c r="G49" s="13" t="str">
        <f aca="false">IF(N(F49)=0,"",(F49-E49)/F49)</f>
        <v/>
      </c>
    </row>
    <row r="50" customFormat="false" ht="15" hidden="false" customHeight="false" outlineLevel="0" collapsed="false">
      <c r="A50" s="2" t="s">
        <v>11</v>
      </c>
      <c r="B50" s="2" t="s">
        <v>14</v>
      </c>
      <c r="C50" s="2" t="s">
        <v>558</v>
      </c>
      <c r="D50" s="2" t="s">
        <v>559</v>
      </c>
      <c r="E50" s="8" t="n">
        <v>4.5</v>
      </c>
      <c r="F50" s="12"/>
      <c r="G50" s="13" t="str">
        <f aca="false">IF(N(F50)=0,"",(F50-E50)/F50)</f>
        <v/>
      </c>
    </row>
    <row r="51" customFormat="false" ht="15" hidden="false" customHeight="false" outlineLevel="0" collapsed="false">
      <c r="A51" s="2" t="s">
        <v>11</v>
      </c>
      <c r="B51" s="2" t="s">
        <v>14</v>
      </c>
      <c r="C51" s="2" t="s">
        <v>560</v>
      </c>
      <c r="D51" s="2" t="s">
        <v>561</v>
      </c>
      <c r="E51" s="8" t="n">
        <v>4</v>
      </c>
      <c r="F51" s="12"/>
      <c r="G51" s="13" t="str">
        <f aca="false">IF(N(F51)=0,"",(F51-E51)/F51)</f>
        <v/>
      </c>
    </row>
    <row r="52" customFormat="false" ht="15" hidden="false" customHeight="false" outlineLevel="0" collapsed="false">
      <c r="A52" s="2" t="s">
        <v>11</v>
      </c>
      <c r="B52" s="2" t="s">
        <v>14</v>
      </c>
      <c r="C52" s="2" t="s">
        <v>562</v>
      </c>
      <c r="D52" s="2" t="s">
        <v>563</v>
      </c>
      <c r="E52" s="8" t="n">
        <v>4.5</v>
      </c>
      <c r="F52" s="12"/>
      <c r="G52" s="13" t="str">
        <f aca="false">IF(N(F52)=0,"",(F52-E52)/F52)</f>
        <v/>
      </c>
    </row>
    <row r="53" customFormat="false" ht="15" hidden="false" customHeight="false" outlineLevel="0" collapsed="false">
      <c r="A53" s="2" t="s">
        <v>11</v>
      </c>
      <c r="B53" s="2" t="s">
        <v>14</v>
      </c>
      <c r="C53" s="2" t="s">
        <v>564</v>
      </c>
      <c r="D53" s="2" t="s">
        <v>565</v>
      </c>
      <c r="E53" s="8" t="n">
        <v>7</v>
      </c>
      <c r="F53" s="12"/>
      <c r="G53" s="13" t="str">
        <f aca="false">IF(N(F53)=0,"",(F53-E53)/F53)</f>
        <v/>
      </c>
    </row>
    <row r="54" customFormat="false" ht="15" hidden="false" customHeight="false" outlineLevel="0" collapsed="false">
      <c r="A54" s="2" t="s">
        <v>11</v>
      </c>
      <c r="B54" s="2" t="s">
        <v>14</v>
      </c>
      <c r="C54" s="2" t="s">
        <v>566</v>
      </c>
      <c r="D54" s="2" t="s">
        <v>567</v>
      </c>
      <c r="E54" s="8" t="n">
        <v>7</v>
      </c>
      <c r="F54" s="12"/>
      <c r="G54" s="13" t="str">
        <f aca="false">IF(N(F54)=0,"",(F54-E54)/F54)</f>
        <v/>
      </c>
    </row>
    <row r="55" customFormat="false" ht="15" hidden="false" customHeight="false" outlineLevel="0" collapsed="false">
      <c r="A55" s="2" t="s">
        <v>11</v>
      </c>
      <c r="B55" s="2" t="s">
        <v>14</v>
      </c>
      <c r="C55" s="2" t="s">
        <v>568</v>
      </c>
      <c r="D55" s="2" t="s">
        <v>569</v>
      </c>
      <c r="E55" s="8" t="n">
        <v>8.75</v>
      </c>
      <c r="F55" s="12"/>
      <c r="G55" s="13" t="str">
        <f aca="false">IF(N(F55)=0,"",(F55-E55)/F55)</f>
        <v/>
      </c>
    </row>
    <row r="56" customFormat="false" ht="15" hidden="false" customHeight="false" outlineLevel="0" collapsed="false">
      <c r="A56" s="2" t="s">
        <v>11</v>
      </c>
      <c r="B56" s="2" t="s">
        <v>14</v>
      </c>
      <c r="C56" s="2" t="s">
        <v>568</v>
      </c>
      <c r="D56" s="2" t="s">
        <v>570</v>
      </c>
      <c r="E56" s="8" t="n">
        <v>8.75</v>
      </c>
      <c r="F56" s="12"/>
      <c r="G56" s="13" t="str">
        <f aca="false">IF(N(F56)=0,"",(F56-E56)/F56)</f>
        <v/>
      </c>
    </row>
    <row r="57" customFormat="false" ht="15" hidden="false" customHeight="false" outlineLevel="0" collapsed="false">
      <c r="A57" s="2" t="s">
        <v>11</v>
      </c>
      <c r="B57" s="2" t="s">
        <v>14</v>
      </c>
      <c r="C57" s="2" t="s">
        <v>571</v>
      </c>
      <c r="D57" s="2" t="s">
        <v>572</v>
      </c>
      <c r="E57" s="8" t="n">
        <v>9</v>
      </c>
      <c r="F57" s="12"/>
      <c r="G57" s="13" t="str">
        <f aca="false">IF(N(F57)=0,"",(F57-E57)/F57)</f>
        <v/>
      </c>
    </row>
    <row r="58" customFormat="false" ht="15" hidden="false" customHeight="false" outlineLevel="0" collapsed="false">
      <c r="A58" s="2" t="s">
        <v>11</v>
      </c>
      <c r="B58" s="2" t="s">
        <v>14</v>
      </c>
      <c r="C58" s="2" t="s">
        <v>573</v>
      </c>
      <c r="D58" s="2" t="s">
        <v>574</v>
      </c>
      <c r="E58" s="8" t="n">
        <v>8.75</v>
      </c>
      <c r="F58" s="12"/>
      <c r="G58" s="13" t="str">
        <f aca="false">IF(N(F58)=0,"",(F58-E58)/F58)</f>
        <v/>
      </c>
    </row>
    <row r="59" customFormat="false" ht="15" hidden="false" customHeight="false" outlineLevel="0" collapsed="false">
      <c r="A59" s="2" t="s">
        <v>11</v>
      </c>
      <c r="B59" s="2" t="s">
        <v>14</v>
      </c>
      <c r="C59" s="2" t="s">
        <v>575</v>
      </c>
      <c r="D59" s="2" t="s">
        <v>576</v>
      </c>
      <c r="E59" s="8" t="n">
        <v>4</v>
      </c>
      <c r="F59" s="12"/>
      <c r="G59" s="13" t="str">
        <f aca="false">IF(N(F59)=0,"",(F59-E59)/F59)</f>
        <v/>
      </c>
    </row>
    <row r="60" customFormat="false" ht="15" hidden="false" customHeight="false" outlineLevel="0" collapsed="false">
      <c r="A60" s="2" t="s">
        <v>11</v>
      </c>
      <c r="B60" s="2" t="s">
        <v>14</v>
      </c>
      <c r="C60" s="2" t="s">
        <v>577</v>
      </c>
      <c r="D60" s="2" t="s">
        <v>578</v>
      </c>
      <c r="E60" s="8" t="n">
        <v>8.75</v>
      </c>
      <c r="F60" s="12"/>
      <c r="G60" s="13" t="str">
        <f aca="false">IF(N(F60)=0,"",(F60-E60)/F60)</f>
        <v/>
      </c>
    </row>
    <row r="61" customFormat="false" ht="15" hidden="false" customHeight="false" outlineLevel="0" collapsed="false">
      <c r="A61" s="2" t="s">
        <v>11</v>
      </c>
      <c r="B61" s="2" t="s">
        <v>14</v>
      </c>
      <c r="C61" s="2" t="s">
        <v>579</v>
      </c>
      <c r="D61" s="2" t="s">
        <v>580</v>
      </c>
      <c r="E61" s="8" t="n">
        <v>4</v>
      </c>
      <c r="F61" s="12"/>
      <c r="G61" s="13" t="str">
        <f aca="false">IF(N(F61)=0,"",(F61-E61)/F61)</f>
        <v/>
      </c>
    </row>
    <row r="62" customFormat="false" ht="15" hidden="false" customHeight="false" outlineLevel="0" collapsed="false">
      <c r="A62" s="2" t="s">
        <v>11</v>
      </c>
      <c r="B62" s="2" t="s">
        <v>14</v>
      </c>
      <c r="C62" s="2" t="s">
        <v>581</v>
      </c>
      <c r="D62" s="2" t="s">
        <v>582</v>
      </c>
      <c r="E62" s="8" t="n">
        <v>8.75</v>
      </c>
      <c r="F62" s="12"/>
      <c r="G62" s="13" t="str">
        <f aca="false">IF(N(F62)=0,"",(F62-E62)/F62)</f>
        <v/>
      </c>
    </row>
    <row r="63" customFormat="false" ht="15" hidden="false" customHeight="false" outlineLevel="0" collapsed="false">
      <c r="A63" s="2" t="s">
        <v>11</v>
      </c>
      <c r="B63" s="2" t="s">
        <v>14</v>
      </c>
      <c r="C63" s="2" t="s">
        <v>583</v>
      </c>
      <c r="D63" s="2" t="s">
        <v>584</v>
      </c>
      <c r="E63" s="8" t="n">
        <v>4.5</v>
      </c>
      <c r="F63" s="12"/>
      <c r="G63" s="13" t="str">
        <f aca="false">IF(N(F63)=0,"",(F63-E63)/F63)</f>
        <v/>
      </c>
    </row>
    <row r="64" customFormat="false" ht="15" hidden="false" customHeight="false" outlineLevel="0" collapsed="false">
      <c r="A64" s="2" t="s">
        <v>11</v>
      </c>
      <c r="B64" s="2" t="s">
        <v>14</v>
      </c>
      <c r="C64" s="2" t="s">
        <v>585</v>
      </c>
      <c r="D64" s="2" t="s">
        <v>586</v>
      </c>
      <c r="E64" s="8" t="n">
        <v>8.75</v>
      </c>
      <c r="F64" s="12"/>
      <c r="G64" s="13" t="str">
        <f aca="false">IF(N(F64)=0,"",(F64-E64)/F64)</f>
        <v/>
      </c>
    </row>
    <row r="65" customFormat="false" ht="15" hidden="false" customHeight="false" outlineLevel="0" collapsed="false">
      <c r="A65" s="2" t="s">
        <v>11</v>
      </c>
      <c r="B65" s="2" t="s">
        <v>16</v>
      </c>
      <c r="C65" s="2" t="s">
        <v>587</v>
      </c>
      <c r="D65" s="2" t="s">
        <v>588</v>
      </c>
      <c r="E65" s="8" t="n">
        <v>14</v>
      </c>
      <c r="F65" s="12"/>
      <c r="G65" s="13" t="str">
        <f aca="false">IF(N(F65)=0,"",(F65-E65)/F65)</f>
        <v/>
      </c>
    </row>
    <row r="66" customFormat="false" ht="15" hidden="false" customHeight="false" outlineLevel="0" collapsed="false">
      <c r="A66" s="2" t="s">
        <v>11</v>
      </c>
      <c r="B66" s="2" t="s">
        <v>16</v>
      </c>
      <c r="C66" s="2" t="s">
        <v>589</v>
      </c>
      <c r="D66" s="2" t="s">
        <v>590</v>
      </c>
      <c r="E66" s="8" t="n">
        <v>12</v>
      </c>
      <c r="F66" s="12"/>
      <c r="G66" s="13" t="str">
        <f aca="false">IF(N(F66)=0,"",(F66-E66)/F66)</f>
        <v/>
      </c>
    </row>
    <row r="67" customFormat="false" ht="15" hidden="false" customHeight="false" outlineLevel="0" collapsed="false">
      <c r="A67" s="2" t="s">
        <v>11</v>
      </c>
      <c r="B67" s="2" t="s">
        <v>16</v>
      </c>
      <c r="C67" s="2" t="s">
        <v>591</v>
      </c>
      <c r="D67" s="2" t="s">
        <v>592</v>
      </c>
      <c r="E67" s="8" t="n">
        <v>12</v>
      </c>
      <c r="F67" s="12"/>
      <c r="G67" s="13" t="str">
        <f aca="false">IF(N(F67)=0,"",(F67-E67)/F67)</f>
        <v/>
      </c>
    </row>
    <row r="68" customFormat="false" ht="15" hidden="false" customHeight="false" outlineLevel="0" collapsed="false">
      <c r="A68" s="2" t="s">
        <v>11</v>
      </c>
      <c r="B68" s="2" t="s">
        <v>16</v>
      </c>
      <c r="C68" s="2" t="s">
        <v>593</v>
      </c>
      <c r="D68" s="2" t="s">
        <v>594</v>
      </c>
      <c r="E68" s="8" t="n">
        <v>12</v>
      </c>
      <c r="F68" s="12"/>
      <c r="G68" s="13" t="str">
        <f aca="false">IF(N(F68)=0,"",(F68-E68)/F68)</f>
        <v/>
      </c>
    </row>
    <row r="69" customFormat="false" ht="15" hidden="false" customHeight="false" outlineLevel="0" collapsed="false">
      <c r="A69" s="2" t="s">
        <v>11</v>
      </c>
      <c r="B69" s="2" t="s">
        <v>16</v>
      </c>
      <c r="C69" s="2" t="s">
        <v>595</v>
      </c>
      <c r="D69" s="2" t="s">
        <v>596</v>
      </c>
      <c r="E69" s="8" t="n">
        <v>16</v>
      </c>
      <c r="F69" s="12"/>
      <c r="G69" s="13" t="str">
        <f aca="false">IF(N(F69)=0,"",(F69-E69)/F69)</f>
        <v/>
      </c>
    </row>
    <row r="70" customFormat="false" ht="15" hidden="false" customHeight="false" outlineLevel="0" collapsed="false">
      <c r="A70" s="2" t="s">
        <v>11</v>
      </c>
      <c r="B70" s="2" t="s">
        <v>16</v>
      </c>
      <c r="C70" s="2" t="s">
        <v>595</v>
      </c>
      <c r="D70" s="2" t="s">
        <v>597</v>
      </c>
      <c r="E70" s="8" t="n">
        <v>16</v>
      </c>
      <c r="F70" s="12"/>
      <c r="G70" s="13" t="str">
        <f aca="false">IF(N(F70)=0,"",(F70-E70)/F70)</f>
        <v/>
      </c>
    </row>
    <row r="71" customFormat="false" ht="15" hidden="false" customHeight="false" outlineLevel="0" collapsed="false">
      <c r="A71" s="2" t="s">
        <v>11</v>
      </c>
      <c r="B71" s="2" t="s">
        <v>16</v>
      </c>
      <c r="C71" s="2" t="s">
        <v>595</v>
      </c>
      <c r="D71" s="2" t="s">
        <v>598</v>
      </c>
      <c r="E71" s="8" t="n">
        <v>16</v>
      </c>
      <c r="F71" s="12"/>
      <c r="G71" s="13" t="str">
        <f aca="false">IF(N(F71)=0,"",(F71-E71)/F71)</f>
        <v/>
      </c>
    </row>
    <row r="72" customFormat="false" ht="15" hidden="false" customHeight="false" outlineLevel="0" collapsed="false">
      <c r="A72" s="2" t="s">
        <v>11</v>
      </c>
      <c r="B72" s="2" t="s">
        <v>16</v>
      </c>
      <c r="C72" s="2" t="s">
        <v>599</v>
      </c>
      <c r="D72" s="2" t="s">
        <v>600</v>
      </c>
      <c r="E72" s="8" t="n">
        <v>16</v>
      </c>
      <c r="F72" s="12"/>
      <c r="G72" s="13" t="str">
        <f aca="false">IF(N(F72)=0,"",(F72-E72)/F72)</f>
        <v/>
      </c>
    </row>
    <row r="73" customFormat="false" ht="15" hidden="false" customHeight="false" outlineLevel="0" collapsed="false">
      <c r="A73" s="2" t="s">
        <v>11</v>
      </c>
      <c r="B73" s="2" t="s">
        <v>16</v>
      </c>
      <c r="C73" s="2" t="s">
        <v>601</v>
      </c>
      <c r="D73" s="2" t="s">
        <v>602</v>
      </c>
      <c r="E73" s="8" t="n">
        <v>14</v>
      </c>
      <c r="F73" s="12"/>
      <c r="G73" s="13" t="str">
        <f aca="false">IF(N(F73)=0,"",(F73-E73)/F73)</f>
        <v/>
      </c>
    </row>
    <row r="74" customFormat="false" ht="15" hidden="false" customHeight="false" outlineLevel="0" collapsed="false">
      <c r="A74" s="2" t="s">
        <v>11</v>
      </c>
      <c r="B74" s="2" t="s">
        <v>16</v>
      </c>
      <c r="C74" s="2" t="s">
        <v>603</v>
      </c>
      <c r="D74" s="2" t="s">
        <v>604</v>
      </c>
      <c r="E74" s="8" t="n">
        <v>14</v>
      </c>
      <c r="F74" s="12"/>
      <c r="G74" s="13" t="str">
        <f aca="false">IF(N(F74)=0,"",(F74-E74)/F74)</f>
        <v/>
      </c>
    </row>
    <row r="75" customFormat="false" ht="15" hidden="false" customHeight="false" outlineLevel="0" collapsed="false">
      <c r="A75" s="2" t="s">
        <v>11</v>
      </c>
      <c r="B75" s="2" t="s">
        <v>16</v>
      </c>
      <c r="C75" s="2" t="s">
        <v>605</v>
      </c>
      <c r="D75" s="2" t="s">
        <v>606</v>
      </c>
      <c r="E75" s="8" t="n">
        <v>16.5</v>
      </c>
      <c r="F75" s="12"/>
      <c r="G75" s="13" t="str">
        <f aca="false">IF(N(F75)=0,"",(F75-E75)/F75)</f>
        <v/>
      </c>
    </row>
    <row r="76" customFormat="false" ht="15" hidden="false" customHeight="false" outlineLevel="0" collapsed="false">
      <c r="A76" s="2" t="s">
        <v>11</v>
      </c>
      <c r="B76" s="2" t="s">
        <v>16</v>
      </c>
      <c r="C76" s="2" t="s">
        <v>607</v>
      </c>
      <c r="D76" s="2" t="s">
        <v>608</v>
      </c>
      <c r="E76" s="8" t="n">
        <v>14.5</v>
      </c>
      <c r="F76" s="12"/>
      <c r="G76" s="13" t="str">
        <f aca="false">IF(N(F76)=0,"",(F76-E76)/F76)</f>
        <v/>
      </c>
    </row>
    <row r="77" customFormat="false" ht="15" hidden="false" customHeight="false" outlineLevel="0" collapsed="false">
      <c r="A77" s="2" t="s">
        <v>11</v>
      </c>
      <c r="B77" s="2" t="s">
        <v>16</v>
      </c>
      <c r="C77" s="2" t="s">
        <v>609</v>
      </c>
      <c r="D77" s="2" t="s">
        <v>610</v>
      </c>
      <c r="E77" s="8" t="n">
        <v>14.5</v>
      </c>
      <c r="F77" s="12"/>
      <c r="G77" s="13" t="str">
        <f aca="false">IF(N(F77)=0,"",(F77-E77)/F77)</f>
        <v/>
      </c>
    </row>
    <row r="78" customFormat="false" ht="15" hidden="false" customHeight="false" outlineLevel="0" collapsed="false">
      <c r="A78" s="2" t="s">
        <v>11</v>
      </c>
      <c r="B78" s="2" t="s">
        <v>16</v>
      </c>
      <c r="C78" s="2" t="s">
        <v>611</v>
      </c>
      <c r="D78" s="2" t="s">
        <v>612</v>
      </c>
      <c r="E78" s="8" t="n">
        <v>14.5</v>
      </c>
      <c r="F78" s="12"/>
      <c r="G78" s="13" t="str">
        <f aca="false">IF(N(F78)=0,"",(F78-E78)/F78)</f>
        <v/>
      </c>
    </row>
    <row r="79" customFormat="false" ht="15" hidden="false" customHeight="false" outlineLevel="0" collapsed="false">
      <c r="A79" s="2" t="s">
        <v>11</v>
      </c>
      <c r="B79" s="2" t="s">
        <v>16</v>
      </c>
      <c r="C79" s="2" t="s">
        <v>613</v>
      </c>
      <c r="D79" s="2" t="s">
        <v>614</v>
      </c>
      <c r="E79" s="8" t="n">
        <v>12</v>
      </c>
      <c r="F79" s="12"/>
      <c r="G79" s="13" t="str">
        <f aca="false">IF(N(F79)=0,"",(F79-E79)/F79)</f>
        <v/>
      </c>
    </row>
    <row r="80" customFormat="false" ht="15" hidden="false" customHeight="false" outlineLevel="0" collapsed="false">
      <c r="A80" s="2" t="s">
        <v>11</v>
      </c>
      <c r="B80" s="2" t="s">
        <v>22</v>
      </c>
      <c r="C80" s="2" t="s">
        <v>615</v>
      </c>
      <c r="D80" s="2" t="s">
        <v>616</v>
      </c>
      <c r="E80" s="8" t="n">
        <v>4.5</v>
      </c>
      <c r="F80" s="12"/>
      <c r="G80" s="13" t="str">
        <f aca="false">IF(N(F80)=0,"",(F80-E80)/F80)</f>
        <v/>
      </c>
    </row>
    <row r="81" customFormat="false" ht="15" hidden="false" customHeight="false" outlineLevel="0" collapsed="false">
      <c r="A81" s="2" t="s">
        <v>11</v>
      </c>
      <c r="B81" s="2" t="s">
        <v>22</v>
      </c>
      <c r="C81" s="2" t="s">
        <v>617</v>
      </c>
      <c r="D81" s="2" t="s">
        <v>618</v>
      </c>
      <c r="E81" s="8" t="n">
        <v>4.5</v>
      </c>
      <c r="F81" s="12"/>
      <c r="G81" s="13" t="str">
        <f aca="false">IF(N(F81)=0,"",(F81-E81)/F81)</f>
        <v/>
      </c>
    </row>
    <row r="82" customFormat="false" ht="15" hidden="false" customHeight="false" outlineLevel="0" collapsed="false">
      <c r="A82" s="2" t="s">
        <v>11</v>
      </c>
      <c r="B82" s="2" t="s">
        <v>22</v>
      </c>
      <c r="C82" s="2" t="s">
        <v>619</v>
      </c>
      <c r="D82" s="2" t="s">
        <v>620</v>
      </c>
      <c r="E82" s="8" t="n">
        <v>8</v>
      </c>
      <c r="F82" s="12"/>
      <c r="G82" s="13" t="str">
        <f aca="false">IF(N(F82)=0,"",(F82-E82)/F82)</f>
        <v/>
      </c>
    </row>
    <row r="83" customFormat="false" ht="15" hidden="false" customHeight="false" outlineLevel="0" collapsed="false">
      <c r="A83" s="2" t="s">
        <v>11</v>
      </c>
      <c r="B83" s="2" t="s">
        <v>22</v>
      </c>
      <c r="C83" s="2" t="s">
        <v>621</v>
      </c>
      <c r="D83" s="2" t="s">
        <v>622</v>
      </c>
      <c r="E83" s="8" t="n">
        <v>1.66</v>
      </c>
      <c r="F83" s="12"/>
      <c r="G83" s="13" t="str">
        <f aca="false">IF(N(F83)=0,"",(F83-E83)/F83)</f>
        <v/>
      </c>
    </row>
    <row r="84" customFormat="false" ht="15" hidden="false" customHeight="false" outlineLevel="0" collapsed="false">
      <c r="A84" s="2" t="s">
        <v>11</v>
      </c>
      <c r="B84" s="2" t="s">
        <v>22</v>
      </c>
      <c r="C84" s="2" t="s">
        <v>623</v>
      </c>
      <c r="D84" s="2" t="s">
        <v>624</v>
      </c>
      <c r="E84" s="8" t="n">
        <v>7.5</v>
      </c>
      <c r="F84" s="12"/>
      <c r="G84" s="13" t="str">
        <f aca="false">IF(N(F84)=0,"",(F84-E84)/F84)</f>
        <v/>
      </c>
    </row>
    <row r="85" customFormat="false" ht="15" hidden="false" customHeight="false" outlineLevel="0" collapsed="false">
      <c r="A85" s="2" t="s">
        <v>11</v>
      </c>
      <c r="B85" s="2" t="s">
        <v>22</v>
      </c>
      <c r="C85" s="2" t="s">
        <v>625</v>
      </c>
      <c r="D85" s="2" t="s">
        <v>626</v>
      </c>
      <c r="E85" s="8" t="n">
        <v>6.78</v>
      </c>
      <c r="F85" s="12"/>
      <c r="G85" s="13" t="str">
        <f aca="false">IF(N(F85)=0,"",(F85-E85)/F85)</f>
        <v/>
      </c>
    </row>
    <row r="86" customFormat="false" ht="15" hidden="false" customHeight="false" outlineLevel="0" collapsed="false">
      <c r="A86" s="2" t="s">
        <v>11</v>
      </c>
      <c r="B86" s="2" t="s">
        <v>22</v>
      </c>
      <c r="C86" s="2" t="s">
        <v>627</v>
      </c>
      <c r="D86" s="2" t="s">
        <v>628</v>
      </c>
      <c r="E86" s="8" t="n">
        <v>7.5</v>
      </c>
      <c r="F86" s="12"/>
      <c r="G86" s="13" t="str">
        <f aca="false">IF(N(F86)=0,"",(F86-E86)/F86)</f>
        <v/>
      </c>
    </row>
    <row r="87" customFormat="false" ht="15" hidden="false" customHeight="false" outlineLevel="0" collapsed="false">
      <c r="A87" s="2" t="s">
        <v>11</v>
      </c>
      <c r="B87" s="2" t="s">
        <v>22</v>
      </c>
      <c r="C87" s="2" t="s">
        <v>629</v>
      </c>
      <c r="D87" s="2" t="s">
        <v>630</v>
      </c>
      <c r="E87" s="8" t="n">
        <v>6.78</v>
      </c>
      <c r="F87" s="12"/>
      <c r="G87" s="13" t="str">
        <f aca="false">IF(N(F87)=0,"",(F87-E87)/F87)</f>
        <v/>
      </c>
    </row>
    <row r="88" customFormat="false" ht="15" hidden="false" customHeight="false" outlineLevel="0" collapsed="false">
      <c r="A88" s="2" t="s">
        <v>11</v>
      </c>
      <c r="B88" s="2" t="s">
        <v>22</v>
      </c>
      <c r="C88" s="2" t="s">
        <v>631</v>
      </c>
      <c r="D88" s="2" t="s">
        <v>632</v>
      </c>
      <c r="E88" s="8" t="n">
        <v>1.66</v>
      </c>
      <c r="F88" s="12"/>
      <c r="G88" s="13" t="str">
        <f aca="false">IF(N(F88)=0,"",(F88-E88)/F88)</f>
        <v/>
      </c>
    </row>
    <row r="89" customFormat="false" ht="15" hidden="false" customHeight="false" outlineLevel="0" collapsed="false">
      <c r="A89" s="2" t="s">
        <v>11</v>
      </c>
      <c r="B89" s="2" t="s">
        <v>22</v>
      </c>
      <c r="C89" s="2" t="s">
        <v>633</v>
      </c>
      <c r="D89" s="2" t="s">
        <v>634</v>
      </c>
      <c r="E89" s="8" t="n">
        <v>1.66</v>
      </c>
      <c r="F89" s="12"/>
      <c r="G89" s="13" t="str">
        <f aca="false">IF(N(F89)=0,"",(F89-E89)/F89)</f>
        <v/>
      </c>
    </row>
    <row r="90" customFormat="false" ht="15" hidden="false" customHeight="false" outlineLevel="0" collapsed="false">
      <c r="A90" s="2" t="s">
        <v>24</v>
      </c>
      <c r="B90" s="2" t="s">
        <v>22</v>
      </c>
      <c r="C90" s="2" t="s">
        <v>635</v>
      </c>
      <c r="D90" s="2" t="s">
        <v>636</v>
      </c>
      <c r="E90" s="8" t="n">
        <v>4</v>
      </c>
      <c r="F90" s="12"/>
      <c r="G90" s="13" t="str">
        <f aca="false">IF(N(F90)=0,"",(F90-E90)/F90)</f>
        <v/>
      </c>
    </row>
    <row r="91" customFormat="false" ht="15" hidden="false" customHeight="false" outlineLevel="0" collapsed="false">
      <c r="A91" s="2" t="s">
        <v>24</v>
      </c>
      <c r="B91" s="2" t="s">
        <v>29</v>
      </c>
      <c r="C91" s="2" t="s">
        <v>637</v>
      </c>
      <c r="D91" s="2" t="s">
        <v>638</v>
      </c>
      <c r="E91" s="8" t="n">
        <v>5.5</v>
      </c>
      <c r="F91" s="12"/>
      <c r="G91" s="13" t="str">
        <f aca="false">IF(N(F91)=0,"",(F91-E91)/F91)</f>
        <v/>
      </c>
    </row>
    <row r="92" customFormat="false" ht="15" hidden="false" customHeight="false" outlineLevel="0" collapsed="false">
      <c r="A92" s="2" t="s">
        <v>24</v>
      </c>
      <c r="B92" s="2" t="s">
        <v>29</v>
      </c>
      <c r="C92" s="2" t="s">
        <v>639</v>
      </c>
      <c r="D92" s="2" t="s">
        <v>640</v>
      </c>
      <c r="E92" s="8" t="n">
        <v>7.83</v>
      </c>
      <c r="F92" s="12"/>
      <c r="G92" s="13" t="str">
        <f aca="false">IF(N(F92)=0,"",(F92-E92)/F92)</f>
        <v/>
      </c>
    </row>
    <row r="93" customFormat="false" ht="15" hidden="false" customHeight="false" outlineLevel="0" collapsed="false">
      <c r="A93" s="2" t="s">
        <v>24</v>
      </c>
      <c r="B93" s="2" t="s">
        <v>29</v>
      </c>
      <c r="C93" s="2" t="s">
        <v>641</v>
      </c>
      <c r="D93" s="2" t="s">
        <v>642</v>
      </c>
      <c r="E93" s="8" t="n">
        <v>7.83</v>
      </c>
      <c r="F93" s="12"/>
      <c r="G93" s="13" t="str">
        <f aca="false">IF(N(F93)=0,"",(F93-E93)/F93)</f>
        <v/>
      </c>
    </row>
    <row r="94" customFormat="false" ht="15" hidden="false" customHeight="false" outlineLevel="0" collapsed="false">
      <c r="A94" s="2" t="s">
        <v>24</v>
      </c>
      <c r="B94" s="2" t="s">
        <v>29</v>
      </c>
      <c r="C94" s="2" t="s">
        <v>641</v>
      </c>
      <c r="D94" s="2" t="s">
        <v>643</v>
      </c>
      <c r="E94" s="8" t="n">
        <v>5.5</v>
      </c>
      <c r="F94" s="12"/>
      <c r="G94" s="13" t="str">
        <f aca="false">IF(N(F94)=0,"",(F94-E94)/F94)</f>
        <v/>
      </c>
    </row>
    <row r="95" customFormat="false" ht="15" hidden="false" customHeight="false" outlineLevel="0" collapsed="false">
      <c r="A95" s="2" t="s">
        <v>24</v>
      </c>
      <c r="B95" s="2" t="s">
        <v>27</v>
      </c>
      <c r="C95" s="2" t="s">
        <v>644</v>
      </c>
      <c r="D95" s="2" t="s">
        <v>645</v>
      </c>
      <c r="E95" s="8" t="n">
        <v>1.5</v>
      </c>
      <c r="F95" s="12"/>
      <c r="G95" s="13" t="str">
        <f aca="false">IF(N(F95)=0,"",(F95-E95)/F95)</f>
        <v/>
      </c>
    </row>
    <row r="96" customFormat="false" ht="15" hidden="false" customHeight="false" outlineLevel="0" collapsed="false">
      <c r="A96" s="2" t="s">
        <v>24</v>
      </c>
      <c r="B96" s="2" t="s">
        <v>27</v>
      </c>
      <c r="C96" s="2" t="s">
        <v>646</v>
      </c>
      <c r="D96" s="2" t="s">
        <v>647</v>
      </c>
      <c r="E96" s="8" t="n">
        <v>1.75</v>
      </c>
      <c r="F96" s="12"/>
      <c r="G96" s="13" t="str">
        <f aca="false">IF(N(F96)=0,"",(F96-E96)/F96)</f>
        <v/>
      </c>
    </row>
    <row r="97" customFormat="false" ht="15" hidden="false" customHeight="false" outlineLevel="0" collapsed="false">
      <c r="A97" s="2" t="s">
        <v>24</v>
      </c>
      <c r="B97" s="2" t="s">
        <v>25</v>
      </c>
      <c r="C97" s="2" t="s">
        <v>648</v>
      </c>
      <c r="D97" s="2" t="s">
        <v>649</v>
      </c>
      <c r="E97" s="8" t="n">
        <v>8.5</v>
      </c>
      <c r="F97" s="12"/>
      <c r="G97" s="13" t="str">
        <f aca="false">IF(N(F97)=0,"",(F97-E97)/F97)</f>
        <v/>
      </c>
    </row>
    <row r="98" customFormat="false" ht="15" hidden="false" customHeight="false" outlineLevel="0" collapsed="false">
      <c r="A98" s="2" t="s">
        <v>24</v>
      </c>
      <c r="B98" s="2" t="s">
        <v>25</v>
      </c>
      <c r="C98" s="2" t="s">
        <v>650</v>
      </c>
      <c r="D98" s="2" t="s">
        <v>651</v>
      </c>
      <c r="E98" s="8" t="n">
        <v>7.33</v>
      </c>
      <c r="F98" s="12"/>
      <c r="G98" s="13" t="str">
        <f aca="false">IF(N(F98)=0,"",(F98-E98)/F98)</f>
        <v/>
      </c>
    </row>
    <row r="99" customFormat="false" ht="15" hidden="false" customHeight="false" outlineLevel="0" collapsed="false">
      <c r="A99" s="2" t="s">
        <v>24</v>
      </c>
      <c r="B99" s="2" t="s">
        <v>25</v>
      </c>
      <c r="C99" s="2" t="s">
        <v>652</v>
      </c>
      <c r="D99" s="2" t="s">
        <v>653</v>
      </c>
      <c r="E99" s="8" t="n">
        <v>7.33</v>
      </c>
      <c r="F99" s="12"/>
      <c r="G99" s="13" t="str">
        <f aca="false">IF(N(F99)=0,"",(F99-E99)/F99)</f>
        <v/>
      </c>
    </row>
    <row r="100" customFormat="false" ht="15" hidden="false" customHeight="false" outlineLevel="0" collapsed="false">
      <c r="A100" s="2" t="s">
        <v>24</v>
      </c>
      <c r="B100" s="2" t="s">
        <v>25</v>
      </c>
      <c r="C100" s="2" t="s">
        <v>654</v>
      </c>
      <c r="D100" s="2" t="s">
        <v>655</v>
      </c>
      <c r="E100" s="8" t="n">
        <v>7.33</v>
      </c>
      <c r="F100" s="12"/>
      <c r="G100" s="13" t="str">
        <f aca="false">IF(N(F100)=0,"",(F100-E100)/F100)</f>
        <v/>
      </c>
    </row>
    <row r="101" customFormat="false" ht="15" hidden="false" customHeight="false" outlineLevel="0" collapsed="false">
      <c r="A101" s="2" t="s">
        <v>24</v>
      </c>
      <c r="B101" s="2" t="s">
        <v>25</v>
      </c>
      <c r="C101" s="2" t="s">
        <v>656</v>
      </c>
      <c r="D101" s="2" t="s">
        <v>657</v>
      </c>
      <c r="E101" s="8" t="n">
        <v>7.33</v>
      </c>
      <c r="F101" s="12"/>
      <c r="G101" s="13" t="str">
        <f aca="false">IF(N(F101)=0,"",(F101-E101)/F101)</f>
        <v/>
      </c>
    </row>
    <row r="102" customFormat="false" ht="15" hidden="false" customHeight="false" outlineLevel="0" collapsed="false">
      <c r="A102" s="2" t="s">
        <v>24</v>
      </c>
      <c r="B102" s="2" t="s">
        <v>25</v>
      </c>
      <c r="C102" s="2" t="s">
        <v>658</v>
      </c>
      <c r="D102" s="2" t="s">
        <v>659</v>
      </c>
      <c r="E102" s="8" t="n">
        <v>7.33</v>
      </c>
      <c r="F102" s="12"/>
      <c r="G102" s="13" t="str">
        <f aca="false">IF(N(F102)=0,"",(F102-E102)/F102)</f>
        <v/>
      </c>
    </row>
    <row r="103" customFormat="false" ht="15" hidden="false" customHeight="false" outlineLevel="0" collapsed="false">
      <c r="A103" s="2" t="s">
        <v>24</v>
      </c>
      <c r="B103" s="2" t="s">
        <v>25</v>
      </c>
      <c r="C103" s="2" t="s">
        <v>660</v>
      </c>
      <c r="D103" s="2" t="s">
        <v>661</v>
      </c>
      <c r="E103" s="8" t="n">
        <v>7.33</v>
      </c>
      <c r="F103" s="12"/>
      <c r="G103" s="13" t="str">
        <f aca="false">IF(N(F103)=0,"",(F103-E103)/F103)</f>
        <v/>
      </c>
    </row>
    <row r="104" customFormat="false" ht="15" hidden="false" customHeight="false" outlineLevel="0" collapsed="false">
      <c r="A104" s="2" t="s">
        <v>24</v>
      </c>
      <c r="B104" s="2" t="s">
        <v>25</v>
      </c>
      <c r="C104" s="2" t="s">
        <v>662</v>
      </c>
      <c r="D104" s="2" t="s">
        <v>663</v>
      </c>
      <c r="E104" s="8" t="n">
        <v>7.33</v>
      </c>
      <c r="F104" s="12"/>
      <c r="G104" s="13" t="str">
        <f aca="false">IF(N(F104)=0,"",(F104-E104)/F104)</f>
        <v/>
      </c>
    </row>
    <row r="105" customFormat="false" ht="15" hidden="false" customHeight="false" outlineLevel="0" collapsed="false">
      <c r="A105" s="2" t="s">
        <v>24</v>
      </c>
      <c r="B105" s="2" t="s">
        <v>25</v>
      </c>
      <c r="C105" s="2" t="s">
        <v>664</v>
      </c>
      <c r="D105" s="2" t="s">
        <v>665</v>
      </c>
      <c r="E105" s="8" t="n">
        <v>7.33</v>
      </c>
      <c r="F105" s="12"/>
      <c r="G105" s="13" t="str">
        <f aca="false">IF(N(F105)=0,"",(F105-E105)/F105)</f>
        <v/>
      </c>
    </row>
    <row r="106" customFormat="false" ht="15" hidden="false" customHeight="false" outlineLevel="0" collapsed="false">
      <c r="A106" s="2" t="s">
        <v>24</v>
      </c>
      <c r="B106" s="2" t="s">
        <v>25</v>
      </c>
      <c r="C106" s="2" t="s">
        <v>666</v>
      </c>
      <c r="D106" s="2" t="s">
        <v>667</v>
      </c>
      <c r="E106" s="8" t="n">
        <v>7.33</v>
      </c>
      <c r="F106" s="12"/>
      <c r="G106" s="13" t="str">
        <f aca="false">IF(N(F106)=0,"",(F106-E106)/F106)</f>
        <v/>
      </c>
    </row>
    <row r="107" customFormat="false" ht="15" hidden="false" customHeight="false" outlineLevel="0" collapsed="false">
      <c r="A107" s="2" t="s">
        <v>24</v>
      </c>
      <c r="B107" s="2" t="s">
        <v>25</v>
      </c>
      <c r="C107" s="2" t="s">
        <v>668</v>
      </c>
      <c r="D107" s="2" t="s">
        <v>669</v>
      </c>
      <c r="E107" s="8" t="n">
        <v>7.33</v>
      </c>
      <c r="F107" s="12"/>
      <c r="G107" s="13" t="str">
        <f aca="false">IF(N(F107)=0,"",(F107-E107)/F107)</f>
        <v/>
      </c>
    </row>
    <row r="108" customFormat="false" ht="15" hidden="false" customHeight="false" outlineLevel="0" collapsed="false">
      <c r="A108" s="2" t="s">
        <v>24</v>
      </c>
      <c r="B108" s="2" t="s">
        <v>25</v>
      </c>
      <c r="C108" s="2" t="s">
        <v>670</v>
      </c>
      <c r="D108" s="2" t="s">
        <v>671</v>
      </c>
      <c r="E108" s="8" t="n">
        <v>8</v>
      </c>
      <c r="F108" s="12"/>
      <c r="G108" s="13" t="str">
        <f aca="false">IF(N(F108)=0,"",(F108-E108)/F108)</f>
        <v/>
      </c>
    </row>
    <row r="109" customFormat="false" ht="15" hidden="false" customHeight="false" outlineLevel="0" collapsed="false">
      <c r="A109" s="2" t="s">
        <v>24</v>
      </c>
      <c r="B109" s="2" t="s">
        <v>25</v>
      </c>
      <c r="C109" s="2" t="s">
        <v>672</v>
      </c>
      <c r="D109" s="2" t="s">
        <v>673</v>
      </c>
      <c r="E109" s="8" t="n">
        <v>8.5</v>
      </c>
      <c r="F109" s="12"/>
      <c r="G109" s="13" t="str">
        <f aca="false">IF(N(F109)=0,"",(F109-E109)/F109)</f>
        <v/>
      </c>
    </row>
    <row r="110" customFormat="false" ht="15" hidden="false" customHeight="false" outlineLevel="0" collapsed="false">
      <c r="A110" s="2" t="s">
        <v>24</v>
      </c>
      <c r="B110" s="2" t="s">
        <v>25</v>
      </c>
      <c r="C110" s="2" t="s">
        <v>674</v>
      </c>
      <c r="D110" s="2" t="s">
        <v>675</v>
      </c>
      <c r="E110" s="8" t="n">
        <v>9</v>
      </c>
      <c r="F110" s="12"/>
      <c r="G110" s="13" t="str">
        <f aca="false">IF(N(F110)=0,"",(F110-E110)/F110)</f>
        <v/>
      </c>
    </row>
    <row r="111" customFormat="false" ht="15" hidden="false" customHeight="false" outlineLevel="0" collapsed="false">
      <c r="A111" s="2" t="s">
        <v>24</v>
      </c>
      <c r="B111" s="2" t="s">
        <v>25</v>
      </c>
      <c r="C111" s="2" t="s">
        <v>676</v>
      </c>
      <c r="D111" s="2" t="s">
        <v>677</v>
      </c>
      <c r="E111" s="8" t="n">
        <v>7.33</v>
      </c>
      <c r="F111" s="12"/>
      <c r="G111" s="13" t="str">
        <f aca="false">IF(N(F111)=0,"",(F111-E111)/F111)</f>
        <v/>
      </c>
    </row>
    <row r="112" customFormat="false" ht="15" hidden="false" customHeight="false" outlineLevel="0" collapsed="false">
      <c r="A112" s="2" t="s">
        <v>24</v>
      </c>
      <c r="B112" s="2" t="s">
        <v>25</v>
      </c>
      <c r="C112" s="2" t="s">
        <v>678</v>
      </c>
      <c r="D112" s="2" t="s">
        <v>679</v>
      </c>
      <c r="E112" s="8" t="n">
        <v>7.33</v>
      </c>
      <c r="F112" s="12"/>
      <c r="G112" s="13" t="str">
        <f aca="false">IF(N(F112)=0,"",(F112-E112)/F112)</f>
        <v/>
      </c>
    </row>
    <row r="113" customFormat="false" ht="15" hidden="false" customHeight="false" outlineLevel="0" collapsed="false">
      <c r="A113" s="2" t="s">
        <v>24</v>
      </c>
      <c r="B113" s="2" t="s">
        <v>25</v>
      </c>
      <c r="C113" s="2" t="s">
        <v>680</v>
      </c>
      <c r="D113" s="2" t="s">
        <v>681</v>
      </c>
      <c r="E113" s="8" t="n">
        <v>7.33</v>
      </c>
      <c r="F113" s="12"/>
      <c r="G113" s="13" t="str">
        <f aca="false">IF(N(F113)=0,"",(F113-E113)/F113)</f>
        <v/>
      </c>
    </row>
    <row r="114" customFormat="false" ht="15" hidden="false" customHeight="false" outlineLevel="0" collapsed="false">
      <c r="A114" s="2" t="s">
        <v>24</v>
      </c>
      <c r="B114" s="2" t="s">
        <v>25</v>
      </c>
      <c r="C114" s="2" t="s">
        <v>682</v>
      </c>
      <c r="D114" s="2" t="s">
        <v>683</v>
      </c>
      <c r="E114" s="8" t="n">
        <v>7.33</v>
      </c>
      <c r="F114" s="12"/>
      <c r="G114" s="13" t="str">
        <f aca="false">IF(N(F114)=0,"",(F114-E114)/F114)</f>
        <v/>
      </c>
    </row>
    <row r="115" customFormat="false" ht="15" hidden="false" customHeight="false" outlineLevel="0" collapsed="false">
      <c r="A115" s="2" t="s">
        <v>24</v>
      </c>
      <c r="B115" s="2" t="s">
        <v>25</v>
      </c>
      <c r="C115" s="2" t="s">
        <v>684</v>
      </c>
      <c r="D115" s="2" t="s">
        <v>685</v>
      </c>
      <c r="E115" s="8" t="n">
        <v>7.33</v>
      </c>
      <c r="F115" s="12"/>
      <c r="G115" s="13" t="str">
        <f aca="false">IF(N(F115)=0,"",(F115-E115)/F115)</f>
        <v/>
      </c>
    </row>
    <row r="116" customFormat="false" ht="15" hidden="false" customHeight="false" outlineLevel="0" collapsed="false">
      <c r="A116" s="2" t="s">
        <v>24</v>
      </c>
      <c r="B116" s="2" t="s">
        <v>25</v>
      </c>
      <c r="C116" s="2" t="s">
        <v>686</v>
      </c>
      <c r="D116" s="2" t="s">
        <v>687</v>
      </c>
      <c r="E116" s="8" t="n">
        <v>7.33</v>
      </c>
      <c r="F116" s="12"/>
      <c r="G116" s="13" t="str">
        <f aca="false">IF(N(F116)=0,"",(F116-E116)/F116)</f>
        <v/>
      </c>
    </row>
    <row r="117" customFormat="false" ht="15" hidden="false" customHeight="false" outlineLevel="0" collapsed="false">
      <c r="A117" s="2" t="s">
        <v>24</v>
      </c>
      <c r="B117" s="2" t="s">
        <v>25</v>
      </c>
      <c r="C117" s="2" t="s">
        <v>688</v>
      </c>
      <c r="D117" s="2" t="s">
        <v>689</v>
      </c>
      <c r="E117" s="8" t="n">
        <v>7</v>
      </c>
      <c r="F117" s="12"/>
      <c r="G117" s="13" t="str">
        <f aca="false">IF(N(F117)=0,"",(F117-E117)/F117)</f>
        <v/>
      </c>
    </row>
    <row r="118" customFormat="false" ht="15" hidden="false" customHeight="false" outlineLevel="0" collapsed="false">
      <c r="A118" s="2" t="s">
        <v>24</v>
      </c>
      <c r="B118" s="2" t="s">
        <v>25</v>
      </c>
      <c r="C118" s="2" t="s">
        <v>690</v>
      </c>
      <c r="D118" s="2" t="s">
        <v>691</v>
      </c>
      <c r="E118" s="8" t="n">
        <v>7</v>
      </c>
      <c r="F118" s="12"/>
      <c r="G118" s="13" t="str">
        <f aca="false">IF(N(F118)=0,"",(F118-E118)/F118)</f>
        <v/>
      </c>
    </row>
    <row r="119" customFormat="false" ht="15" hidden="false" customHeight="false" outlineLevel="0" collapsed="false">
      <c r="A119" s="2" t="s">
        <v>24</v>
      </c>
      <c r="B119" s="2" t="s">
        <v>25</v>
      </c>
      <c r="C119" s="2" t="s">
        <v>692</v>
      </c>
      <c r="D119" s="2" t="s">
        <v>693</v>
      </c>
      <c r="E119" s="8" t="n">
        <v>7.33</v>
      </c>
      <c r="F119" s="12"/>
      <c r="G119" s="13" t="str">
        <f aca="false">IF(N(F119)=0,"",(F119-E119)/F119)</f>
        <v/>
      </c>
    </row>
    <row r="120" customFormat="false" ht="15" hidden="false" customHeight="false" outlineLevel="0" collapsed="false">
      <c r="A120" s="2" t="s">
        <v>24</v>
      </c>
      <c r="B120" s="2" t="s">
        <v>25</v>
      </c>
      <c r="C120" s="2" t="s">
        <v>694</v>
      </c>
      <c r="D120" s="2" t="s">
        <v>695</v>
      </c>
      <c r="E120" s="8" t="n">
        <v>6.25</v>
      </c>
      <c r="F120" s="12"/>
      <c r="G120" s="13" t="str">
        <f aca="false">IF(N(F120)=0,"",(F120-E120)/F120)</f>
        <v/>
      </c>
    </row>
    <row r="121" customFormat="false" ht="15" hidden="false" customHeight="false" outlineLevel="0" collapsed="false">
      <c r="A121" s="2" t="s">
        <v>24</v>
      </c>
      <c r="B121" s="2" t="s">
        <v>25</v>
      </c>
      <c r="C121" s="2" t="s">
        <v>696</v>
      </c>
      <c r="D121" s="2" t="s">
        <v>697</v>
      </c>
      <c r="E121" s="8" t="n">
        <v>7.33</v>
      </c>
      <c r="F121" s="12"/>
      <c r="G121" s="13" t="str">
        <f aca="false">IF(N(F121)=0,"",(F121-E121)/F121)</f>
        <v/>
      </c>
    </row>
    <row r="122" customFormat="false" ht="15" hidden="false" customHeight="false" outlineLevel="0" collapsed="false">
      <c r="A122" s="2" t="s">
        <v>24</v>
      </c>
      <c r="B122" s="2" t="s">
        <v>25</v>
      </c>
      <c r="C122" s="2" t="s">
        <v>698</v>
      </c>
      <c r="D122" s="2" t="s">
        <v>699</v>
      </c>
      <c r="E122" s="8" t="n">
        <v>7.33</v>
      </c>
      <c r="F122" s="12"/>
      <c r="G122" s="13" t="str">
        <f aca="false">IF(N(F122)=0,"",(F122-E122)/F122)</f>
        <v/>
      </c>
    </row>
    <row r="123" customFormat="false" ht="15" hidden="false" customHeight="false" outlineLevel="0" collapsed="false">
      <c r="A123" s="2" t="s">
        <v>24</v>
      </c>
      <c r="B123" s="2" t="s">
        <v>25</v>
      </c>
      <c r="C123" s="2" t="s">
        <v>700</v>
      </c>
      <c r="D123" s="2" t="s">
        <v>701</v>
      </c>
      <c r="E123" s="8" t="n">
        <v>7.33</v>
      </c>
      <c r="F123" s="12"/>
      <c r="G123" s="13" t="str">
        <f aca="false">IF(N(F123)=0,"",(F123-E123)/F123)</f>
        <v/>
      </c>
    </row>
    <row r="124" customFormat="false" ht="15" hidden="false" customHeight="false" outlineLevel="0" collapsed="false">
      <c r="A124" s="2" t="s">
        <v>24</v>
      </c>
      <c r="B124" s="2" t="s">
        <v>25</v>
      </c>
      <c r="C124" s="2" t="s">
        <v>702</v>
      </c>
      <c r="D124" s="2" t="s">
        <v>703</v>
      </c>
      <c r="E124" s="8" t="n">
        <v>7.33</v>
      </c>
      <c r="F124" s="12"/>
      <c r="G124" s="13" t="str">
        <f aca="false">IF(N(F124)=0,"",(F124-E124)/F124)</f>
        <v/>
      </c>
    </row>
    <row r="125" customFormat="false" ht="15" hidden="false" customHeight="false" outlineLevel="0" collapsed="false">
      <c r="A125" s="2" t="s">
        <v>24</v>
      </c>
      <c r="B125" s="2" t="s">
        <v>25</v>
      </c>
      <c r="C125" s="2" t="s">
        <v>704</v>
      </c>
      <c r="D125" s="2" t="s">
        <v>705</v>
      </c>
      <c r="E125" s="8" t="n">
        <v>7.33</v>
      </c>
      <c r="F125" s="12"/>
      <c r="G125" s="13" t="str">
        <f aca="false">IF(N(F125)=0,"",(F125-E125)/F125)</f>
        <v/>
      </c>
    </row>
    <row r="126" customFormat="false" ht="15" hidden="false" customHeight="false" outlineLevel="0" collapsed="false">
      <c r="A126" s="2" t="s">
        <v>24</v>
      </c>
      <c r="B126" s="2" t="s">
        <v>25</v>
      </c>
      <c r="C126" s="2" t="s">
        <v>706</v>
      </c>
      <c r="D126" s="2" t="s">
        <v>707</v>
      </c>
      <c r="E126" s="8" t="n">
        <v>7.33</v>
      </c>
      <c r="F126" s="12"/>
      <c r="G126" s="13" t="str">
        <f aca="false">IF(N(F126)=0,"",(F126-E126)/F126)</f>
        <v/>
      </c>
    </row>
    <row r="127" customFormat="false" ht="15" hidden="false" customHeight="false" outlineLevel="0" collapsed="false">
      <c r="A127" s="2" t="s">
        <v>24</v>
      </c>
      <c r="B127" s="2" t="s">
        <v>25</v>
      </c>
      <c r="C127" s="2" t="s">
        <v>708</v>
      </c>
      <c r="D127" s="2" t="s">
        <v>709</v>
      </c>
      <c r="E127" s="8" t="n">
        <v>7.33</v>
      </c>
      <c r="F127" s="12"/>
      <c r="G127" s="13" t="str">
        <f aca="false">IF(N(F127)=0,"",(F127-E127)/F127)</f>
        <v/>
      </c>
    </row>
    <row r="128" customFormat="false" ht="15" hidden="false" customHeight="false" outlineLevel="0" collapsed="false">
      <c r="A128" s="2" t="s">
        <v>24</v>
      </c>
      <c r="B128" s="2" t="s">
        <v>25</v>
      </c>
      <c r="C128" s="2" t="s">
        <v>710</v>
      </c>
      <c r="D128" s="2" t="s">
        <v>711</v>
      </c>
      <c r="E128" s="8" t="n">
        <v>7</v>
      </c>
      <c r="F128" s="12"/>
      <c r="G128" s="13" t="str">
        <f aca="false">IF(N(F128)=0,"",(F128-E128)/F128)</f>
        <v/>
      </c>
    </row>
    <row r="129" customFormat="false" ht="15" hidden="false" customHeight="false" outlineLevel="0" collapsed="false">
      <c r="A129" s="2" t="s">
        <v>24</v>
      </c>
      <c r="B129" s="2" t="s">
        <v>25</v>
      </c>
      <c r="C129" s="2" t="s">
        <v>712</v>
      </c>
      <c r="D129" s="2" t="s">
        <v>713</v>
      </c>
      <c r="E129" s="8" t="n">
        <v>7.33</v>
      </c>
      <c r="F129" s="12"/>
      <c r="G129" s="13" t="str">
        <f aca="false">IF(N(F129)=0,"",(F129-E129)/F129)</f>
        <v/>
      </c>
    </row>
    <row r="130" customFormat="false" ht="15" hidden="false" customHeight="false" outlineLevel="0" collapsed="false">
      <c r="A130" s="2" t="s">
        <v>24</v>
      </c>
      <c r="B130" s="2" t="s">
        <v>25</v>
      </c>
      <c r="C130" s="2" t="s">
        <v>714</v>
      </c>
      <c r="D130" s="2" t="s">
        <v>715</v>
      </c>
      <c r="E130" s="8" t="n">
        <v>7.33</v>
      </c>
      <c r="F130" s="12"/>
      <c r="G130" s="13" t="str">
        <f aca="false">IF(N(F130)=0,"",(F130-E130)/F130)</f>
        <v/>
      </c>
    </row>
    <row r="131" customFormat="false" ht="15" hidden="false" customHeight="false" outlineLevel="0" collapsed="false">
      <c r="A131" s="2" t="s">
        <v>24</v>
      </c>
      <c r="B131" s="2" t="s">
        <v>25</v>
      </c>
      <c r="C131" s="2" t="s">
        <v>716</v>
      </c>
      <c r="D131" s="2" t="s">
        <v>717</v>
      </c>
      <c r="E131" s="8" t="n">
        <v>7.33</v>
      </c>
      <c r="F131" s="12"/>
      <c r="G131" s="13" t="str">
        <f aca="false">IF(N(F131)=0,"",(F131-E131)/F131)</f>
        <v/>
      </c>
    </row>
    <row r="132" customFormat="false" ht="15" hidden="false" customHeight="false" outlineLevel="0" collapsed="false">
      <c r="A132" s="2" t="s">
        <v>24</v>
      </c>
      <c r="B132" s="2" t="s">
        <v>25</v>
      </c>
      <c r="C132" s="2" t="s">
        <v>718</v>
      </c>
      <c r="D132" s="2" t="s">
        <v>719</v>
      </c>
      <c r="E132" s="8" t="n">
        <v>7</v>
      </c>
      <c r="F132" s="12"/>
      <c r="G132" s="13" t="str">
        <f aca="false">IF(N(F132)=0,"",(F132-E132)/F132)</f>
        <v/>
      </c>
    </row>
    <row r="133" customFormat="false" ht="15" hidden="false" customHeight="false" outlineLevel="0" collapsed="false">
      <c r="A133" s="2" t="s">
        <v>24</v>
      </c>
      <c r="B133" s="2" t="s">
        <v>25</v>
      </c>
      <c r="C133" s="2" t="s">
        <v>720</v>
      </c>
      <c r="D133" s="2" t="s">
        <v>721</v>
      </c>
      <c r="E133" s="8" t="n">
        <v>6.25</v>
      </c>
      <c r="F133" s="12"/>
      <c r="G133" s="13" t="str">
        <f aca="false">IF(N(F133)=0,"",(F133-E133)/F133)</f>
        <v/>
      </c>
    </row>
    <row r="134" customFormat="false" ht="15" hidden="false" customHeight="false" outlineLevel="0" collapsed="false">
      <c r="A134" s="2" t="s">
        <v>24</v>
      </c>
      <c r="B134" s="2" t="s">
        <v>25</v>
      </c>
      <c r="C134" s="2" t="s">
        <v>722</v>
      </c>
      <c r="D134" s="2" t="s">
        <v>723</v>
      </c>
      <c r="E134" s="8" t="n">
        <v>6.25</v>
      </c>
      <c r="F134" s="12"/>
      <c r="G134" s="13" t="str">
        <f aca="false">IF(N(F134)=0,"",(F134-E134)/F134)</f>
        <v/>
      </c>
    </row>
    <row r="135" customFormat="false" ht="15" hidden="false" customHeight="false" outlineLevel="0" collapsed="false">
      <c r="A135" s="2" t="s">
        <v>24</v>
      </c>
      <c r="B135" s="2" t="s">
        <v>25</v>
      </c>
      <c r="C135" s="2" t="s">
        <v>724</v>
      </c>
      <c r="D135" s="2" t="s">
        <v>725</v>
      </c>
      <c r="E135" s="8" t="n">
        <v>7.33</v>
      </c>
      <c r="F135" s="12"/>
      <c r="G135" s="13" t="str">
        <f aca="false">IF(N(F135)=0,"",(F135-E135)/F135)</f>
        <v/>
      </c>
    </row>
    <row r="136" customFormat="false" ht="15" hidden="false" customHeight="false" outlineLevel="0" collapsed="false">
      <c r="A136" s="2" t="s">
        <v>24</v>
      </c>
      <c r="B136" s="2" t="s">
        <v>25</v>
      </c>
      <c r="C136" s="2" t="s">
        <v>726</v>
      </c>
      <c r="D136" s="2" t="s">
        <v>727</v>
      </c>
      <c r="E136" s="8" t="n">
        <v>7</v>
      </c>
      <c r="F136" s="12"/>
      <c r="G136" s="13" t="str">
        <f aca="false">IF(N(F136)=0,"",(F136-E136)/F136)</f>
        <v/>
      </c>
    </row>
    <row r="137" customFormat="false" ht="15" hidden="false" customHeight="false" outlineLevel="0" collapsed="false">
      <c r="A137" s="2" t="s">
        <v>24</v>
      </c>
      <c r="B137" s="2" t="s">
        <v>25</v>
      </c>
      <c r="C137" s="2" t="s">
        <v>728</v>
      </c>
      <c r="D137" s="2" t="s">
        <v>729</v>
      </c>
      <c r="E137" s="8" t="n">
        <v>7.33</v>
      </c>
      <c r="F137" s="12"/>
      <c r="G137" s="13" t="str">
        <f aca="false">IF(N(F137)=0,"",(F137-E137)/F137)</f>
        <v/>
      </c>
    </row>
    <row r="138" customFormat="false" ht="15" hidden="false" customHeight="false" outlineLevel="0" collapsed="false">
      <c r="A138" s="2" t="s">
        <v>24</v>
      </c>
      <c r="B138" s="2" t="s">
        <v>25</v>
      </c>
      <c r="C138" s="2" t="s">
        <v>730</v>
      </c>
      <c r="D138" s="2" t="s">
        <v>731</v>
      </c>
      <c r="E138" s="8" t="n">
        <v>7</v>
      </c>
      <c r="F138" s="12"/>
      <c r="G138" s="13" t="str">
        <f aca="false">IF(N(F138)=0,"",(F138-E138)/F138)</f>
        <v/>
      </c>
    </row>
    <row r="139" customFormat="false" ht="15" hidden="false" customHeight="false" outlineLevel="0" collapsed="false">
      <c r="A139" s="2" t="s">
        <v>24</v>
      </c>
      <c r="B139" s="2" t="s">
        <v>25</v>
      </c>
      <c r="C139" s="2" t="s">
        <v>732</v>
      </c>
      <c r="D139" s="2" t="s">
        <v>733</v>
      </c>
      <c r="E139" s="8" t="n">
        <v>8.5</v>
      </c>
      <c r="F139" s="12"/>
      <c r="G139" s="13" t="str">
        <f aca="false">IF(N(F139)=0,"",(F139-E139)/F139)</f>
        <v/>
      </c>
    </row>
    <row r="140" customFormat="false" ht="15" hidden="false" customHeight="false" outlineLevel="0" collapsed="false">
      <c r="A140" s="2" t="s">
        <v>24</v>
      </c>
      <c r="B140" s="2" t="s">
        <v>25</v>
      </c>
      <c r="C140" s="2" t="s">
        <v>734</v>
      </c>
      <c r="D140" s="2" t="s">
        <v>735</v>
      </c>
      <c r="E140" s="8" t="n">
        <v>7.33</v>
      </c>
      <c r="F140" s="12"/>
      <c r="G140" s="13" t="str">
        <f aca="false">IF(N(F140)=0,"",(F140-E140)/F140)</f>
        <v/>
      </c>
    </row>
    <row r="141" customFormat="false" ht="15" hidden="false" customHeight="false" outlineLevel="0" collapsed="false">
      <c r="A141" s="2" t="s">
        <v>24</v>
      </c>
      <c r="B141" s="2" t="s">
        <v>25</v>
      </c>
      <c r="C141" s="2" t="s">
        <v>734</v>
      </c>
      <c r="D141" s="2" t="s">
        <v>736</v>
      </c>
      <c r="E141" s="8" t="n">
        <v>8.5</v>
      </c>
      <c r="F141" s="12"/>
      <c r="G141" s="13" t="str">
        <f aca="false">IF(N(F141)=0,"",(F141-E141)/F141)</f>
        <v/>
      </c>
    </row>
    <row r="142" customFormat="false" ht="15" hidden="false" customHeight="false" outlineLevel="0" collapsed="false">
      <c r="A142" s="2" t="s">
        <v>24</v>
      </c>
      <c r="B142" s="2" t="s">
        <v>25</v>
      </c>
      <c r="C142" s="2" t="s">
        <v>737</v>
      </c>
      <c r="D142" s="2" t="s">
        <v>738</v>
      </c>
      <c r="E142" s="8" t="n">
        <v>7.33</v>
      </c>
      <c r="F142" s="12"/>
      <c r="G142" s="13" t="str">
        <f aca="false">IF(N(F142)=0,"",(F142-E142)/F142)</f>
        <v/>
      </c>
    </row>
    <row r="143" customFormat="false" ht="15" hidden="false" customHeight="false" outlineLevel="0" collapsed="false">
      <c r="A143" s="2" t="s">
        <v>24</v>
      </c>
      <c r="B143" s="2" t="s">
        <v>25</v>
      </c>
      <c r="C143" s="2" t="s">
        <v>739</v>
      </c>
      <c r="D143" s="2" t="s">
        <v>740</v>
      </c>
      <c r="E143" s="8" t="n">
        <v>8.5</v>
      </c>
      <c r="F143" s="12"/>
      <c r="G143" s="13" t="str">
        <f aca="false">IF(N(F143)=0,"",(F143-E143)/F143)</f>
        <v/>
      </c>
    </row>
    <row r="144" customFormat="false" ht="15" hidden="false" customHeight="false" outlineLevel="0" collapsed="false">
      <c r="A144" s="2" t="s">
        <v>24</v>
      </c>
      <c r="B144" s="2" t="s">
        <v>25</v>
      </c>
      <c r="C144" s="2" t="s">
        <v>741</v>
      </c>
      <c r="D144" s="2" t="s">
        <v>742</v>
      </c>
      <c r="E144" s="8" t="n">
        <v>8.5</v>
      </c>
      <c r="F144" s="12"/>
      <c r="G144" s="13" t="str">
        <f aca="false">IF(N(F144)=0,"",(F144-E144)/F144)</f>
        <v/>
      </c>
    </row>
  </sheetData>
  <autoFilter ref="A1:G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743</v>
      </c>
      <c r="D1" s="1" t="s">
        <v>744</v>
      </c>
      <c r="E1" s="1" t="s">
        <v>745</v>
      </c>
      <c r="F1" s="1" t="s">
        <v>53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746</v>
      </c>
      <c r="D2" s="8" t="n">
        <v>25.49</v>
      </c>
      <c r="E2" s="2" t="s">
        <v>747</v>
      </c>
      <c r="F2" s="2" t="s">
        <v>748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749</v>
      </c>
      <c r="D3" s="8" t="n">
        <v>19.8</v>
      </c>
      <c r="E3" s="2" t="s">
        <v>750</v>
      </c>
      <c r="F3" s="2" t="s">
        <v>751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752</v>
      </c>
      <c r="D4" s="8" t="n">
        <v>47.41</v>
      </c>
      <c r="E4" s="2" t="s">
        <v>753</v>
      </c>
      <c r="F4" s="2" t="s">
        <v>754</v>
      </c>
    </row>
    <row r="5" customFormat="false" ht="15" hidden="false" customHeight="false" outlineLevel="0" collapsed="false">
      <c r="A5" s="2" t="s">
        <v>11</v>
      </c>
      <c r="B5" s="2" t="s">
        <v>14</v>
      </c>
      <c r="C5" s="2" t="s">
        <v>755</v>
      </c>
      <c r="D5" s="8" t="n">
        <v>19</v>
      </c>
      <c r="E5" s="2" t="s">
        <v>753</v>
      </c>
      <c r="F5" s="2" t="s">
        <v>756</v>
      </c>
    </row>
    <row r="6" customFormat="false" ht="15" hidden="false" customHeight="false" outlineLevel="0" collapsed="false">
      <c r="A6" s="2" t="s">
        <v>11</v>
      </c>
      <c r="B6" s="2" t="s">
        <v>14</v>
      </c>
      <c r="C6" s="2" t="s">
        <v>757</v>
      </c>
      <c r="D6" s="8" t="n">
        <v>15.68</v>
      </c>
      <c r="E6" s="2" t="s">
        <v>753</v>
      </c>
      <c r="F6" s="2" t="s">
        <v>754</v>
      </c>
    </row>
    <row r="7" customFormat="false" ht="15" hidden="false" customHeight="false" outlineLevel="0" collapsed="false">
      <c r="A7" s="2" t="s">
        <v>11</v>
      </c>
      <c r="B7" s="2" t="s">
        <v>14</v>
      </c>
      <c r="C7" s="2" t="s">
        <v>758</v>
      </c>
      <c r="D7" s="8" t="n">
        <v>19.9</v>
      </c>
      <c r="E7" s="2" t="s">
        <v>753</v>
      </c>
      <c r="F7" s="2" t="s">
        <v>754</v>
      </c>
    </row>
    <row r="8" customFormat="false" ht="15" hidden="false" customHeight="false" outlineLevel="0" collapsed="false">
      <c r="A8" s="2" t="s">
        <v>11</v>
      </c>
      <c r="B8" s="2" t="s">
        <v>18</v>
      </c>
      <c r="C8" s="2" t="s">
        <v>759</v>
      </c>
      <c r="D8" s="8" t="n">
        <v>32.55</v>
      </c>
      <c r="E8" s="2" t="s">
        <v>753</v>
      </c>
      <c r="F8" s="2" t="s">
        <v>754</v>
      </c>
    </row>
    <row r="9" customFormat="false" ht="15" hidden="false" customHeight="false" outlineLevel="0" collapsed="false">
      <c r="A9" s="2" t="s">
        <v>11</v>
      </c>
      <c r="B9" s="2" t="s">
        <v>18</v>
      </c>
      <c r="C9" s="2" t="s">
        <v>760</v>
      </c>
      <c r="D9" s="8" t="n">
        <v>29.99</v>
      </c>
      <c r="E9" s="2" t="s">
        <v>761</v>
      </c>
      <c r="F9" s="2" t="s">
        <v>762</v>
      </c>
    </row>
    <row r="10" customFormat="false" ht="15" hidden="false" customHeight="false" outlineLevel="0" collapsed="false">
      <c r="A10" s="2" t="s">
        <v>24</v>
      </c>
      <c r="B10" s="2" t="s">
        <v>29</v>
      </c>
      <c r="C10" s="2" t="s">
        <v>763</v>
      </c>
      <c r="D10" s="8" t="n">
        <v>18.99</v>
      </c>
      <c r="E10" s="2" t="s">
        <v>753</v>
      </c>
      <c r="F10" s="2" t="s">
        <v>764</v>
      </c>
    </row>
    <row r="11" customFormat="false" ht="15" hidden="false" customHeight="false" outlineLevel="0" collapsed="false">
      <c r="A11" s="2" t="s">
        <v>24</v>
      </c>
      <c r="B11" s="2" t="s">
        <v>29</v>
      </c>
      <c r="C11" s="2" t="s">
        <v>765</v>
      </c>
      <c r="D11" s="8" t="n">
        <v>22.79</v>
      </c>
      <c r="E11" s="2" t="s">
        <v>753</v>
      </c>
      <c r="F11" s="2" t="s">
        <v>764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766</v>
      </c>
      <c r="D12" s="8" t="n">
        <v>4.89</v>
      </c>
      <c r="E12" s="2" t="s">
        <v>761</v>
      </c>
      <c r="F12" s="2" t="s">
        <v>767</v>
      </c>
    </row>
    <row r="14" customFormat="false" ht="15" hidden="false" customHeight="false" outlineLevel="0" collapsed="false">
      <c r="A14" s="5" t="s">
        <v>768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2026-10-22T17:50:47Z</dcterms:created>
  <dc:creator>openpyxl</dc:creator>
  <dc:description/>
  <dc:language>en-US</dc:language>
  <cp:lastModifiedBy/>
  <dcterms:modified xsi:type="dcterms:W3CDTF">2026-10-22T17:50:48Z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